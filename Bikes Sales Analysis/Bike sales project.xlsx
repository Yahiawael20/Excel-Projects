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2.xml" ContentType="application/vnd.openxmlformats-officedocument.drawing+xml"/>
  <Override PartName="/xl/slicers/slicer2.xml" ContentType="application/vnd.ms-excel.slicer+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mc:AlternateContent xmlns:mc="http://schemas.openxmlformats.org/markup-compatibility/2006">
    <mc:Choice Requires="x15">
      <x15ac:absPath xmlns:x15ac="http://schemas.microsoft.com/office/spreadsheetml/2010/11/ac" url="C:\Users\IT\Desktop\Ai course\matirials\Excell\projects\"/>
    </mc:Choice>
  </mc:AlternateContent>
  <xr:revisionPtr revIDLastSave="0" documentId="13_ncr:1_{8E6C0C66-826C-45B5-BA42-EA8DC660B1CB}" xr6:coauthVersionLast="47" xr6:coauthVersionMax="47" xr10:uidLastSave="{00000000-0000-0000-0000-000000000000}"/>
  <bookViews>
    <workbookView xWindow="-108" yWindow="-108" windowWidth="23256" windowHeight="12456" activeTab="2" xr2:uid="{E0F52DDA-C9EE-474D-A663-EF4F3B14D5FD}"/>
  </bookViews>
  <sheets>
    <sheet name="Bike Sales" sheetId="2" r:id="rId1"/>
    <sheet name="pivot tables" sheetId="4" r:id="rId2"/>
    <sheet name="Dash board" sheetId="3" r:id="rId3"/>
  </sheets>
  <definedNames>
    <definedName name="ExternalData_1" localSheetId="0" hidden="1">'Bike Sales'!$A$1:$V$88</definedName>
    <definedName name="Slicer_Country">#N/A</definedName>
    <definedName name="Slicer_Type">#N/A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Z15" i="2" l="1"/>
  <c r="Z16" i="2"/>
  <c r="Y26" i="2"/>
  <c r="Y23"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CB68C320-A869-4F2D-9547-C6AC55F8F60A}" keepAlive="1" name="Query - Bike Sales" description="Connection to the 'Bike Sales' query in the workbook." type="5" refreshedVersion="8" background="1" saveData="1">
    <dbPr connection="Provider=Microsoft.Mashup.OleDb.1;Data Source=$Workbook$;Location=&quot;Bike Sales&quot;;Extended Properties=&quot;&quot;" command="SELECT * FROM [Bike Sales]"/>
  </connection>
</connections>
</file>

<file path=xl/sharedStrings.xml><?xml version="1.0" encoding="utf-8"?>
<sst xmlns="http://schemas.openxmlformats.org/spreadsheetml/2006/main" count="1041" uniqueCount="103">
  <si>
    <t>Sales_Order #</t>
  </si>
  <si>
    <t>Date</t>
  </si>
  <si>
    <t>Day</t>
  </si>
  <si>
    <t>Month</t>
  </si>
  <si>
    <t>Year</t>
  </si>
  <si>
    <t>Customer_Age</t>
  </si>
  <si>
    <t>Age_Group</t>
  </si>
  <si>
    <t>Customer_Gender</t>
  </si>
  <si>
    <t>Country</t>
  </si>
  <si>
    <t>State</t>
  </si>
  <si>
    <t>Product_Category</t>
  </si>
  <si>
    <t>Sub_Category</t>
  </si>
  <si>
    <t>Product_Description</t>
  </si>
  <si>
    <t>Order_Quantity</t>
  </si>
  <si>
    <t xml:space="preserve"> Unit_Cost </t>
  </si>
  <si>
    <t xml:space="preserve"> Unit_Price </t>
  </si>
  <si>
    <t xml:space="preserve"> Profit </t>
  </si>
  <si>
    <t xml:space="preserve"> Cost </t>
  </si>
  <si>
    <t>Revenue</t>
  </si>
  <si>
    <t>December</t>
  </si>
  <si>
    <t>Adults (35-64)</t>
  </si>
  <si>
    <t>F</t>
  </si>
  <si>
    <t>United States</t>
  </si>
  <si>
    <t>California</t>
  </si>
  <si>
    <t>Bikes</t>
  </si>
  <si>
    <t>Mountain Bikes</t>
  </si>
  <si>
    <t>Mountain-200 Black, 46</t>
  </si>
  <si>
    <t>M</t>
  </si>
  <si>
    <t>United Kingdom</t>
  </si>
  <si>
    <t>England</t>
  </si>
  <si>
    <t>Mountain-200 Silver, 42</t>
  </si>
  <si>
    <t xml:space="preserve"> United States</t>
  </si>
  <si>
    <t>Mountain-400-W Silver, 46</t>
  </si>
  <si>
    <t>Young Adults (25-34)</t>
  </si>
  <si>
    <t>Australia</t>
  </si>
  <si>
    <t>New South Wales</t>
  </si>
  <si>
    <t>Mountain-400-W Silver, 42</t>
  </si>
  <si>
    <t>United  States</t>
  </si>
  <si>
    <t>Youth (&lt;25)</t>
  </si>
  <si>
    <t>Mountain-200 Black, 38</t>
  </si>
  <si>
    <t xml:space="preserve">United States </t>
  </si>
  <si>
    <t>Washington</t>
  </si>
  <si>
    <t>Germany</t>
  </si>
  <si>
    <t>Nordrhein-Westfalen</t>
  </si>
  <si>
    <t>Queensland</t>
  </si>
  <si>
    <t>Mountain-200 Silver, 38</t>
  </si>
  <si>
    <t>Canada</t>
  </si>
  <si>
    <t>British Columbia</t>
  </si>
  <si>
    <t>Mountain-200 Black, 42</t>
  </si>
  <si>
    <t>Decmber</t>
  </si>
  <si>
    <t>Mountain-400-W Silver, 38</t>
  </si>
  <si>
    <t>Mountain-500 Silver, 42</t>
  </si>
  <si>
    <t>Oregon</t>
  </si>
  <si>
    <t>Victoria</t>
  </si>
  <si>
    <t>Mountain-100 Black, 38</t>
  </si>
  <si>
    <t>Hamburg</t>
  </si>
  <si>
    <t>Mountain-500 Black, 40</t>
  </si>
  <si>
    <t>Mountain-100 Silver, 44</t>
  </si>
  <si>
    <t>France</t>
  </si>
  <si>
    <t>Seine (Paris)</t>
  </si>
  <si>
    <t>Mountain-500 Silver, 40</t>
  </si>
  <si>
    <t>Seine et Marne</t>
  </si>
  <si>
    <t>Mountain-200 Silver, 46</t>
  </si>
  <si>
    <t>Seine Saint Denis</t>
  </si>
  <si>
    <t>Nord</t>
  </si>
  <si>
    <t>Mountain-500 Black, 44</t>
  </si>
  <si>
    <t>Mountain-100 Black, 48</t>
  </si>
  <si>
    <t>South Australia</t>
  </si>
  <si>
    <t>Hessen</t>
  </si>
  <si>
    <t>Mountain-500 Black, 52</t>
  </si>
  <si>
    <t>Somme</t>
  </si>
  <si>
    <t>Mountain-500 Black, 42</t>
  </si>
  <si>
    <t>Grand Total</t>
  </si>
  <si>
    <t>Sum of Revenue</t>
  </si>
  <si>
    <t>Gender</t>
  </si>
  <si>
    <t>Type</t>
  </si>
  <si>
    <t>Color</t>
  </si>
  <si>
    <t>Size</t>
  </si>
  <si>
    <t>Mountain-200</t>
  </si>
  <si>
    <t>Black</t>
  </si>
  <si>
    <t>46</t>
  </si>
  <si>
    <t>Silver</t>
  </si>
  <si>
    <t>42</t>
  </si>
  <si>
    <t>Mountain-400-W</t>
  </si>
  <si>
    <t>38</t>
  </si>
  <si>
    <t>Mountain-500</t>
  </si>
  <si>
    <t>Mountain-100</t>
  </si>
  <si>
    <t>40</t>
  </si>
  <si>
    <t>44</t>
  </si>
  <si>
    <t>48</t>
  </si>
  <si>
    <t>52</t>
  </si>
  <si>
    <t>Total sales by gender</t>
  </si>
  <si>
    <t>Total sales by country</t>
  </si>
  <si>
    <t>Total sales by type</t>
  </si>
  <si>
    <t>Total sales by color</t>
  </si>
  <si>
    <t>Total sales by size</t>
  </si>
  <si>
    <t>Total sales by age segment</t>
  </si>
  <si>
    <t>Age segment</t>
  </si>
  <si>
    <t>Top 5 state</t>
  </si>
  <si>
    <t>male</t>
  </si>
  <si>
    <t>female</t>
  </si>
  <si>
    <t>total revenue</t>
  </si>
  <si>
    <t>total profits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</si>
</sst>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Rockwell"/>
      <family val="2"/>
      <scheme val="minor"/>
    </font>
    <font>
      <sz val="8"/>
      <name val="Rockwell"/>
      <family val="2"/>
      <scheme val="minor"/>
    </font>
  </fonts>
  <fills count="5">
    <fill>
      <patternFill patternType="none"/>
    </fill>
    <fill>
      <patternFill patternType="gray125"/>
    </fill>
    <fill>
      <patternFill patternType="solid">
        <fgColor theme="4" tint="0.79998168889431442"/>
        <bgColor indexed="64"/>
      </patternFill>
    </fill>
    <fill>
      <patternFill patternType="solid">
        <fgColor theme="9" tint="0.59999389629810485"/>
        <bgColor indexed="64"/>
      </patternFill>
    </fill>
    <fill>
      <patternFill patternType="solid">
        <fgColor theme="4" tint="-0.249977111117893"/>
        <bgColor indexed="64"/>
      </patternFill>
    </fill>
  </fills>
  <borders count="1">
    <border>
      <left/>
      <right/>
      <top/>
      <bottom/>
      <diagonal/>
    </border>
  </borders>
  <cellStyleXfs count="1">
    <xf numFmtId="0" fontId="0" fillId="0" borderId="0"/>
  </cellStyleXfs>
  <cellXfs count="7">
    <xf numFmtId="0" fontId="0" fillId="0" borderId="0" xfId="0"/>
    <xf numFmtId="14" fontId="0" fillId="0" borderId="0" xfId="0" applyNumberFormat="1"/>
    <xf numFmtId="0" fontId="0" fillId="0" borderId="0" xfId="0" pivotButton="1"/>
    <xf numFmtId="0" fontId="0" fillId="0" borderId="0" xfId="0" applyAlignment="1">
      <alignment horizontal="left"/>
    </xf>
    <xf numFmtId="0" fontId="0" fillId="3" borderId="0" xfId="0" applyFill="1"/>
    <xf numFmtId="0" fontId="0" fillId="2" borderId="0" xfId="0" applyFill="1" applyAlignment="1">
      <alignment horizontal="center" vertical="center"/>
    </xf>
    <xf numFmtId="0" fontId="0" fillId="4" borderId="0" xfId="0" applyFill="1"/>
  </cellXfs>
  <cellStyles count="1">
    <cellStyle name="Normal" xfId="0" builtinId="0"/>
  </cellStyles>
  <dxfs count="12">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m/d/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onnections" Target="connections.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project.xlsx]pivot tables!PivotTable13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sales by gender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pieChart>
        <c:varyColors val="1"/>
        <c:ser>
          <c:idx val="0"/>
          <c:order val="0"/>
          <c:tx>
            <c:strRef>
              <c:f>'pivot tables'!$E$4</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D1F6-4296-879B-E7F0E301BE6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D1F6-4296-879B-E7F0E301BE68}"/>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tables'!$D$5:$D$7</c:f>
              <c:strCache>
                <c:ptCount val="2"/>
                <c:pt idx="0">
                  <c:v>F</c:v>
                </c:pt>
                <c:pt idx="1">
                  <c:v>M</c:v>
                </c:pt>
              </c:strCache>
            </c:strRef>
          </c:cat>
          <c:val>
            <c:numRef>
              <c:f>'pivot tables'!$E$5:$E$7</c:f>
              <c:numCache>
                <c:formatCode>General</c:formatCode>
                <c:ptCount val="2"/>
                <c:pt idx="0">
                  <c:v>197049</c:v>
                </c:pt>
                <c:pt idx="1">
                  <c:v>141268</c:v>
                </c:pt>
              </c:numCache>
            </c:numRef>
          </c:val>
          <c:extLst>
            <c:ext xmlns:c16="http://schemas.microsoft.com/office/drawing/2014/chart" uri="{C3380CC4-5D6E-409C-BE32-E72D297353CC}">
              <c16:uniqueId val="{00000000-B9E9-4372-97D6-E5B6EE2197DA}"/>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project.xlsx]pivot tables!PivotTable14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sales by country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tables'!$I$4</c:f>
              <c:strCache>
                <c:ptCount val="1"/>
                <c:pt idx="0">
                  <c:v>Total</c:v>
                </c:pt>
              </c:strCache>
            </c:strRef>
          </c:tx>
          <c:spPr>
            <a:solidFill>
              <a:schemeClr val="accent1"/>
            </a:solidFill>
            <a:ln>
              <a:noFill/>
            </a:ln>
            <a:effectLst/>
          </c:spPr>
          <c:invertIfNegative val="0"/>
          <c:cat>
            <c:strRef>
              <c:f>'pivot tables'!$H$5:$H$13</c:f>
              <c:strCache>
                <c:ptCount val="8"/>
                <c:pt idx="0">
                  <c:v>United States</c:v>
                </c:pt>
                <c:pt idx="1">
                  <c:v>Australia</c:v>
                </c:pt>
                <c:pt idx="2">
                  <c:v>France</c:v>
                </c:pt>
                <c:pt idx="3">
                  <c:v>Germany</c:v>
                </c:pt>
                <c:pt idx="4">
                  <c:v>United Kingdom</c:v>
                </c:pt>
                <c:pt idx="5">
                  <c:v>United  States</c:v>
                </c:pt>
                <c:pt idx="6">
                  <c:v>United States </c:v>
                </c:pt>
                <c:pt idx="7">
                  <c:v> United States</c:v>
                </c:pt>
              </c:strCache>
            </c:strRef>
          </c:cat>
          <c:val>
            <c:numRef>
              <c:f>'pivot tables'!$I$5:$I$13</c:f>
              <c:numCache>
                <c:formatCode>General</c:formatCode>
                <c:ptCount val="8"/>
                <c:pt idx="0">
                  <c:v>122231</c:v>
                </c:pt>
                <c:pt idx="1">
                  <c:v>111506</c:v>
                </c:pt>
                <c:pt idx="2">
                  <c:v>46175</c:v>
                </c:pt>
                <c:pt idx="3">
                  <c:v>30010</c:v>
                </c:pt>
                <c:pt idx="4">
                  <c:v>19972</c:v>
                </c:pt>
                <c:pt idx="5">
                  <c:v>4590</c:v>
                </c:pt>
                <c:pt idx="6">
                  <c:v>2295</c:v>
                </c:pt>
                <c:pt idx="7">
                  <c:v>1538</c:v>
                </c:pt>
              </c:numCache>
            </c:numRef>
          </c:val>
          <c:extLst>
            <c:ext xmlns:c16="http://schemas.microsoft.com/office/drawing/2014/chart" uri="{C3380CC4-5D6E-409C-BE32-E72D297353CC}">
              <c16:uniqueId val="{00000000-4C7C-4A1F-BA3C-9CC742913A44}"/>
            </c:ext>
          </c:extLst>
        </c:ser>
        <c:dLbls>
          <c:showLegendKey val="0"/>
          <c:showVal val="0"/>
          <c:showCatName val="0"/>
          <c:showSerName val="0"/>
          <c:showPercent val="0"/>
          <c:showBubbleSize val="0"/>
        </c:dLbls>
        <c:gapWidth val="219"/>
        <c:overlap val="-27"/>
        <c:axId val="2015312544"/>
        <c:axId val="2015305344"/>
      </c:barChart>
      <c:catAx>
        <c:axId val="20153125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15305344"/>
        <c:crosses val="autoZero"/>
        <c:auto val="1"/>
        <c:lblAlgn val="ctr"/>
        <c:lblOffset val="100"/>
        <c:noMultiLvlLbl val="0"/>
      </c:catAx>
      <c:valAx>
        <c:axId val="201530534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153125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project.xlsx]pivot tables!PivotTable15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5 state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tables'!$M$4</c:f>
              <c:strCache>
                <c:ptCount val="1"/>
                <c:pt idx="0">
                  <c:v>Total</c:v>
                </c:pt>
              </c:strCache>
            </c:strRef>
          </c:tx>
          <c:spPr>
            <a:solidFill>
              <a:schemeClr val="accent1"/>
            </a:solidFill>
            <a:ln>
              <a:noFill/>
            </a:ln>
            <a:effectLst/>
          </c:spPr>
          <c:invertIfNegative val="0"/>
          <c:cat>
            <c:strRef>
              <c:f>'pivot tables'!$L$5:$L$10</c:f>
              <c:strCache>
                <c:ptCount val="5"/>
                <c:pt idx="0">
                  <c:v>California</c:v>
                </c:pt>
                <c:pt idx="1">
                  <c:v>New South Wales</c:v>
                </c:pt>
                <c:pt idx="2">
                  <c:v>Queensland</c:v>
                </c:pt>
                <c:pt idx="3">
                  <c:v>Washington</c:v>
                </c:pt>
                <c:pt idx="4">
                  <c:v>Victoria</c:v>
                </c:pt>
              </c:strCache>
            </c:strRef>
          </c:cat>
          <c:val>
            <c:numRef>
              <c:f>'pivot tables'!$M$5:$M$10</c:f>
              <c:numCache>
                <c:formatCode>General</c:formatCode>
                <c:ptCount val="5"/>
                <c:pt idx="0">
                  <c:v>74464</c:v>
                </c:pt>
                <c:pt idx="1">
                  <c:v>43467</c:v>
                </c:pt>
                <c:pt idx="2">
                  <c:v>39140</c:v>
                </c:pt>
                <c:pt idx="3">
                  <c:v>31190</c:v>
                </c:pt>
                <c:pt idx="4">
                  <c:v>27819</c:v>
                </c:pt>
              </c:numCache>
            </c:numRef>
          </c:val>
          <c:extLst>
            <c:ext xmlns:c16="http://schemas.microsoft.com/office/drawing/2014/chart" uri="{C3380CC4-5D6E-409C-BE32-E72D297353CC}">
              <c16:uniqueId val="{00000000-7CC2-4809-B7EF-F6228487BD6F}"/>
            </c:ext>
          </c:extLst>
        </c:ser>
        <c:dLbls>
          <c:showLegendKey val="0"/>
          <c:showVal val="0"/>
          <c:showCatName val="0"/>
          <c:showSerName val="0"/>
          <c:showPercent val="0"/>
          <c:showBubbleSize val="0"/>
        </c:dLbls>
        <c:gapWidth val="182"/>
        <c:axId val="2015301504"/>
        <c:axId val="2015311584"/>
      </c:barChart>
      <c:catAx>
        <c:axId val="201530150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15311584"/>
        <c:crosses val="autoZero"/>
        <c:auto val="1"/>
        <c:lblAlgn val="ctr"/>
        <c:lblOffset val="100"/>
        <c:noMultiLvlLbl val="0"/>
      </c:catAx>
      <c:valAx>
        <c:axId val="201531158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153015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project.xlsx]pivot tables!PivotTable16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sales by type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tables'!$Q$4</c:f>
              <c:strCache>
                <c:ptCount val="1"/>
                <c:pt idx="0">
                  <c:v>Total</c:v>
                </c:pt>
              </c:strCache>
            </c:strRef>
          </c:tx>
          <c:spPr>
            <a:solidFill>
              <a:schemeClr val="accent1"/>
            </a:solidFill>
            <a:ln>
              <a:noFill/>
            </a:ln>
            <a:effectLst/>
          </c:spPr>
          <c:invertIfNegative val="0"/>
          <c:cat>
            <c:strRef>
              <c:f>'pivot tables'!$P$5:$P$9</c:f>
              <c:strCache>
                <c:ptCount val="4"/>
                <c:pt idx="0">
                  <c:v>Mountain-200</c:v>
                </c:pt>
                <c:pt idx="1">
                  <c:v>Mountain-100</c:v>
                </c:pt>
                <c:pt idx="2">
                  <c:v>Mountain-400-W</c:v>
                </c:pt>
                <c:pt idx="3">
                  <c:v>Mountain-500</c:v>
                </c:pt>
              </c:strCache>
            </c:strRef>
          </c:cat>
          <c:val>
            <c:numRef>
              <c:f>'pivot tables'!$Q$5:$Q$9</c:f>
              <c:numCache>
                <c:formatCode>General</c:formatCode>
                <c:ptCount val="4"/>
                <c:pt idx="0">
                  <c:v>269665</c:v>
                </c:pt>
                <c:pt idx="1">
                  <c:v>37150</c:v>
                </c:pt>
                <c:pt idx="2">
                  <c:v>21532</c:v>
                </c:pt>
                <c:pt idx="3">
                  <c:v>9970</c:v>
                </c:pt>
              </c:numCache>
            </c:numRef>
          </c:val>
          <c:extLst>
            <c:ext xmlns:c16="http://schemas.microsoft.com/office/drawing/2014/chart" uri="{C3380CC4-5D6E-409C-BE32-E72D297353CC}">
              <c16:uniqueId val="{00000000-586C-4281-B1CE-4E409A828860}"/>
            </c:ext>
          </c:extLst>
        </c:ser>
        <c:dLbls>
          <c:showLegendKey val="0"/>
          <c:showVal val="0"/>
          <c:showCatName val="0"/>
          <c:showSerName val="0"/>
          <c:showPercent val="0"/>
          <c:showBubbleSize val="0"/>
        </c:dLbls>
        <c:gapWidth val="219"/>
        <c:overlap val="-27"/>
        <c:axId val="2015315904"/>
        <c:axId val="2015316384"/>
      </c:barChart>
      <c:catAx>
        <c:axId val="20153159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15316384"/>
        <c:crosses val="autoZero"/>
        <c:auto val="1"/>
        <c:lblAlgn val="ctr"/>
        <c:lblOffset val="100"/>
        <c:noMultiLvlLbl val="0"/>
      </c:catAx>
      <c:valAx>
        <c:axId val="201531638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153159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project.xlsx]pivot tables!PivotTable17</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sales by color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doughnutChart>
        <c:varyColors val="1"/>
        <c:ser>
          <c:idx val="0"/>
          <c:order val="0"/>
          <c:tx>
            <c:strRef>
              <c:f>'pivot tables'!$U$4</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B5F6-4B56-97D2-57450304258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B5F6-4B56-97D2-574503042586}"/>
              </c:ext>
            </c:extLst>
          </c:dPt>
          <c:cat>
            <c:strRef>
              <c:f>'pivot tables'!$T$5:$T$7</c:f>
              <c:strCache>
                <c:ptCount val="2"/>
                <c:pt idx="0">
                  <c:v>Black</c:v>
                </c:pt>
                <c:pt idx="1">
                  <c:v>Silver</c:v>
                </c:pt>
              </c:strCache>
            </c:strRef>
          </c:cat>
          <c:val>
            <c:numRef>
              <c:f>'pivot tables'!$U$5:$U$7</c:f>
              <c:numCache>
                <c:formatCode>General</c:formatCode>
                <c:ptCount val="2"/>
                <c:pt idx="0">
                  <c:v>201015</c:v>
                </c:pt>
                <c:pt idx="1">
                  <c:v>137302</c:v>
                </c:pt>
              </c:numCache>
            </c:numRef>
          </c:val>
          <c:extLst>
            <c:ext xmlns:c16="http://schemas.microsoft.com/office/drawing/2014/chart" uri="{C3380CC4-5D6E-409C-BE32-E72D297353CC}">
              <c16:uniqueId val="{00000000-CEA4-4F4C-8B75-DB5ECF73018A}"/>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project.xlsx]pivot tables!PivotTable18</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sales by size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tables'!$Y$4</c:f>
              <c:strCache>
                <c:ptCount val="1"/>
                <c:pt idx="0">
                  <c:v>Total</c:v>
                </c:pt>
              </c:strCache>
            </c:strRef>
          </c:tx>
          <c:spPr>
            <a:solidFill>
              <a:schemeClr val="accent1"/>
            </a:solidFill>
            <a:ln>
              <a:noFill/>
            </a:ln>
            <a:effectLst/>
          </c:spPr>
          <c:invertIfNegative val="0"/>
          <c:cat>
            <c:strRef>
              <c:f>'pivot tables'!$X$5:$X$11</c:f>
              <c:strCache>
                <c:ptCount val="6"/>
                <c:pt idx="0">
                  <c:v>38</c:v>
                </c:pt>
                <c:pt idx="1">
                  <c:v>46</c:v>
                </c:pt>
                <c:pt idx="2">
                  <c:v>42</c:v>
                </c:pt>
                <c:pt idx="3">
                  <c:v>48</c:v>
                </c:pt>
                <c:pt idx="4">
                  <c:v>44</c:v>
                </c:pt>
                <c:pt idx="5">
                  <c:v>40</c:v>
                </c:pt>
              </c:strCache>
            </c:strRef>
          </c:cat>
          <c:val>
            <c:numRef>
              <c:f>'pivot tables'!$Y$5:$Y$11</c:f>
              <c:numCache>
                <c:formatCode>General</c:formatCode>
                <c:ptCount val="6"/>
                <c:pt idx="0">
                  <c:v>135549</c:v>
                </c:pt>
                <c:pt idx="1">
                  <c:v>99752</c:v>
                </c:pt>
                <c:pt idx="2">
                  <c:v>81771</c:v>
                </c:pt>
                <c:pt idx="3">
                  <c:v>13500</c:v>
                </c:pt>
                <c:pt idx="4">
                  <c:v>5560</c:v>
                </c:pt>
                <c:pt idx="5">
                  <c:v>2185</c:v>
                </c:pt>
              </c:numCache>
            </c:numRef>
          </c:val>
          <c:extLst>
            <c:ext xmlns:c16="http://schemas.microsoft.com/office/drawing/2014/chart" uri="{C3380CC4-5D6E-409C-BE32-E72D297353CC}">
              <c16:uniqueId val="{00000000-96C3-4BBA-B53B-708BA69A24F7}"/>
            </c:ext>
          </c:extLst>
        </c:ser>
        <c:dLbls>
          <c:showLegendKey val="0"/>
          <c:showVal val="0"/>
          <c:showCatName val="0"/>
          <c:showSerName val="0"/>
          <c:showPercent val="0"/>
          <c:showBubbleSize val="0"/>
        </c:dLbls>
        <c:gapWidth val="182"/>
        <c:axId val="2015322624"/>
        <c:axId val="2015323104"/>
      </c:barChart>
      <c:catAx>
        <c:axId val="201532262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15323104"/>
        <c:crosses val="autoZero"/>
        <c:auto val="1"/>
        <c:lblAlgn val="ctr"/>
        <c:lblOffset val="100"/>
        <c:noMultiLvlLbl val="0"/>
      </c:catAx>
      <c:valAx>
        <c:axId val="201532310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153226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project.xlsx]pivot tables!PivotTable19</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sales by age segment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tables'!$AC$4</c:f>
              <c:strCache>
                <c:ptCount val="1"/>
                <c:pt idx="0">
                  <c:v>Total</c:v>
                </c:pt>
              </c:strCache>
            </c:strRef>
          </c:tx>
          <c:spPr>
            <a:solidFill>
              <a:schemeClr val="accent1"/>
            </a:solidFill>
            <a:ln>
              <a:noFill/>
            </a:ln>
            <a:effectLst/>
          </c:spPr>
          <c:invertIfNegative val="0"/>
          <c:cat>
            <c:strRef>
              <c:f>'pivot tables'!$AB$5:$AB$8</c:f>
              <c:strCache>
                <c:ptCount val="3"/>
                <c:pt idx="0">
                  <c:v>Adults (35-64)</c:v>
                </c:pt>
                <c:pt idx="1">
                  <c:v>Young Adults (25-34)</c:v>
                </c:pt>
                <c:pt idx="2">
                  <c:v>Youth (&lt;25)</c:v>
                </c:pt>
              </c:strCache>
            </c:strRef>
          </c:cat>
          <c:val>
            <c:numRef>
              <c:f>'pivot tables'!$AC$5:$AC$8</c:f>
              <c:numCache>
                <c:formatCode>General</c:formatCode>
                <c:ptCount val="3"/>
                <c:pt idx="0">
                  <c:v>203421</c:v>
                </c:pt>
                <c:pt idx="1">
                  <c:v>99566</c:v>
                </c:pt>
                <c:pt idx="2">
                  <c:v>35330</c:v>
                </c:pt>
              </c:numCache>
            </c:numRef>
          </c:val>
          <c:extLst>
            <c:ext xmlns:c16="http://schemas.microsoft.com/office/drawing/2014/chart" uri="{C3380CC4-5D6E-409C-BE32-E72D297353CC}">
              <c16:uniqueId val="{00000000-A4FB-4BF8-B0E1-D30420C3937F}"/>
            </c:ext>
          </c:extLst>
        </c:ser>
        <c:dLbls>
          <c:showLegendKey val="0"/>
          <c:showVal val="0"/>
          <c:showCatName val="0"/>
          <c:showSerName val="0"/>
          <c:showPercent val="0"/>
          <c:showBubbleSize val="0"/>
        </c:dLbls>
        <c:gapWidth val="219"/>
        <c:overlap val="-27"/>
        <c:axId val="1871916016"/>
        <c:axId val="1871914096"/>
      </c:barChart>
      <c:catAx>
        <c:axId val="18719160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71914096"/>
        <c:crosses val="autoZero"/>
        <c:auto val="1"/>
        <c:lblAlgn val="ctr"/>
        <c:lblOffset val="100"/>
        <c:noMultiLvlLbl val="0"/>
      </c:catAx>
      <c:valAx>
        <c:axId val="187191409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719160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project.xlsx]pivot tables!PivotTable14</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sales by country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tables'!$I$4</c:f>
              <c:strCache>
                <c:ptCount val="1"/>
                <c:pt idx="0">
                  <c:v>Total</c:v>
                </c:pt>
              </c:strCache>
            </c:strRef>
          </c:tx>
          <c:spPr>
            <a:solidFill>
              <a:schemeClr val="accent1"/>
            </a:solidFill>
            <a:ln>
              <a:noFill/>
            </a:ln>
            <a:effectLst/>
          </c:spPr>
          <c:invertIfNegative val="0"/>
          <c:cat>
            <c:strRef>
              <c:f>'pivot tables'!$H$5:$H$13</c:f>
              <c:strCache>
                <c:ptCount val="8"/>
                <c:pt idx="0">
                  <c:v>United States</c:v>
                </c:pt>
                <c:pt idx="1">
                  <c:v>Australia</c:v>
                </c:pt>
                <c:pt idx="2">
                  <c:v>France</c:v>
                </c:pt>
                <c:pt idx="3">
                  <c:v>Germany</c:v>
                </c:pt>
                <c:pt idx="4">
                  <c:v>United Kingdom</c:v>
                </c:pt>
                <c:pt idx="5">
                  <c:v>United  States</c:v>
                </c:pt>
                <c:pt idx="6">
                  <c:v>United States </c:v>
                </c:pt>
                <c:pt idx="7">
                  <c:v> United States</c:v>
                </c:pt>
              </c:strCache>
            </c:strRef>
          </c:cat>
          <c:val>
            <c:numRef>
              <c:f>'pivot tables'!$I$5:$I$13</c:f>
              <c:numCache>
                <c:formatCode>General</c:formatCode>
                <c:ptCount val="8"/>
                <c:pt idx="0">
                  <c:v>122231</c:v>
                </c:pt>
                <c:pt idx="1">
                  <c:v>111506</c:v>
                </c:pt>
                <c:pt idx="2">
                  <c:v>46175</c:v>
                </c:pt>
                <c:pt idx="3">
                  <c:v>30010</c:v>
                </c:pt>
                <c:pt idx="4">
                  <c:v>19972</c:v>
                </c:pt>
                <c:pt idx="5">
                  <c:v>4590</c:v>
                </c:pt>
                <c:pt idx="6">
                  <c:v>2295</c:v>
                </c:pt>
                <c:pt idx="7">
                  <c:v>1538</c:v>
                </c:pt>
              </c:numCache>
            </c:numRef>
          </c:val>
          <c:extLst>
            <c:ext xmlns:c16="http://schemas.microsoft.com/office/drawing/2014/chart" uri="{C3380CC4-5D6E-409C-BE32-E72D297353CC}">
              <c16:uniqueId val="{00000000-B82F-4E24-8C77-3DC4BF86E974}"/>
            </c:ext>
          </c:extLst>
        </c:ser>
        <c:dLbls>
          <c:showLegendKey val="0"/>
          <c:showVal val="0"/>
          <c:showCatName val="0"/>
          <c:showSerName val="0"/>
          <c:showPercent val="0"/>
          <c:showBubbleSize val="0"/>
        </c:dLbls>
        <c:gapWidth val="219"/>
        <c:overlap val="-27"/>
        <c:axId val="2015312544"/>
        <c:axId val="2015305344"/>
      </c:barChart>
      <c:catAx>
        <c:axId val="201531254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15305344"/>
        <c:crosses val="autoZero"/>
        <c:auto val="1"/>
        <c:lblAlgn val="ctr"/>
        <c:lblOffset val="100"/>
        <c:noMultiLvlLbl val="0"/>
      </c:catAx>
      <c:valAx>
        <c:axId val="2015305344"/>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153125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project.xlsx]pivot tables!PivotTable15</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5 state in sales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tables'!$M$4</c:f>
              <c:strCache>
                <c:ptCount val="1"/>
                <c:pt idx="0">
                  <c:v>Total</c:v>
                </c:pt>
              </c:strCache>
            </c:strRef>
          </c:tx>
          <c:spPr>
            <a:solidFill>
              <a:schemeClr val="accent1"/>
            </a:solidFill>
            <a:ln>
              <a:noFill/>
            </a:ln>
            <a:effectLst/>
          </c:spPr>
          <c:invertIfNegative val="0"/>
          <c:cat>
            <c:strRef>
              <c:f>'pivot tables'!$L$5:$L$10</c:f>
              <c:strCache>
                <c:ptCount val="5"/>
                <c:pt idx="0">
                  <c:v>California</c:v>
                </c:pt>
                <c:pt idx="1">
                  <c:v>New South Wales</c:v>
                </c:pt>
                <c:pt idx="2">
                  <c:v>Queensland</c:v>
                </c:pt>
                <c:pt idx="3">
                  <c:v>Washington</c:v>
                </c:pt>
                <c:pt idx="4">
                  <c:v>Victoria</c:v>
                </c:pt>
              </c:strCache>
            </c:strRef>
          </c:cat>
          <c:val>
            <c:numRef>
              <c:f>'pivot tables'!$M$5:$M$10</c:f>
              <c:numCache>
                <c:formatCode>General</c:formatCode>
                <c:ptCount val="5"/>
                <c:pt idx="0">
                  <c:v>74464</c:v>
                </c:pt>
                <c:pt idx="1">
                  <c:v>43467</c:v>
                </c:pt>
                <c:pt idx="2">
                  <c:v>39140</c:v>
                </c:pt>
                <c:pt idx="3">
                  <c:v>31190</c:v>
                </c:pt>
                <c:pt idx="4">
                  <c:v>27819</c:v>
                </c:pt>
              </c:numCache>
            </c:numRef>
          </c:val>
          <c:extLst>
            <c:ext xmlns:c16="http://schemas.microsoft.com/office/drawing/2014/chart" uri="{C3380CC4-5D6E-409C-BE32-E72D297353CC}">
              <c16:uniqueId val="{00000000-5B4E-4FAC-9D24-B1BFFDDBA800}"/>
            </c:ext>
          </c:extLst>
        </c:ser>
        <c:dLbls>
          <c:showLegendKey val="0"/>
          <c:showVal val="0"/>
          <c:showCatName val="0"/>
          <c:showSerName val="0"/>
          <c:showPercent val="0"/>
          <c:showBubbleSize val="0"/>
        </c:dLbls>
        <c:gapWidth val="182"/>
        <c:axId val="2015301504"/>
        <c:axId val="2015311584"/>
      </c:barChart>
      <c:catAx>
        <c:axId val="201530150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15311584"/>
        <c:crosses val="autoZero"/>
        <c:auto val="1"/>
        <c:lblAlgn val="ctr"/>
        <c:lblOffset val="100"/>
        <c:noMultiLvlLbl val="0"/>
      </c:catAx>
      <c:valAx>
        <c:axId val="201531158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153015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project.xlsx]pivot tables!PivotTable13</c:name>
    <c:fmtId val="2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sales by gender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s>
    <c:plotArea>
      <c:layout/>
      <c:pieChart>
        <c:varyColors val="1"/>
        <c:ser>
          <c:idx val="0"/>
          <c:order val="0"/>
          <c:tx>
            <c:strRef>
              <c:f>'pivot tables'!$E$4</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6EDC-405C-B684-107ACB07DFF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6EDC-405C-B684-107ACB07DFF3}"/>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tables'!$D$5:$D$7</c:f>
              <c:strCache>
                <c:ptCount val="2"/>
                <c:pt idx="0">
                  <c:v>F</c:v>
                </c:pt>
                <c:pt idx="1">
                  <c:v>M</c:v>
                </c:pt>
              </c:strCache>
            </c:strRef>
          </c:cat>
          <c:val>
            <c:numRef>
              <c:f>'pivot tables'!$E$5:$E$7</c:f>
              <c:numCache>
                <c:formatCode>General</c:formatCode>
                <c:ptCount val="2"/>
                <c:pt idx="0">
                  <c:v>197049</c:v>
                </c:pt>
                <c:pt idx="1">
                  <c:v>141268</c:v>
                </c:pt>
              </c:numCache>
            </c:numRef>
          </c:val>
          <c:extLst>
            <c:ext xmlns:c16="http://schemas.microsoft.com/office/drawing/2014/chart" uri="{C3380CC4-5D6E-409C-BE32-E72D297353CC}">
              <c16:uniqueId val="{00000004-6EDC-405C-B684-107ACB07DFF3}"/>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project.xlsx]pivot tables!PivotTable16</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sales by type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tables'!$Q$4</c:f>
              <c:strCache>
                <c:ptCount val="1"/>
                <c:pt idx="0">
                  <c:v>Total</c:v>
                </c:pt>
              </c:strCache>
            </c:strRef>
          </c:tx>
          <c:spPr>
            <a:solidFill>
              <a:schemeClr val="accent1"/>
            </a:solidFill>
            <a:ln>
              <a:noFill/>
            </a:ln>
            <a:effectLst/>
          </c:spPr>
          <c:invertIfNegative val="0"/>
          <c:cat>
            <c:strRef>
              <c:f>'pivot tables'!$P$5:$P$9</c:f>
              <c:strCache>
                <c:ptCount val="4"/>
                <c:pt idx="0">
                  <c:v>Mountain-200</c:v>
                </c:pt>
                <c:pt idx="1">
                  <c:v>Mountain-100</c:v>
                </c:pt>
                <c:pt idx="2">
                  <c:v>Mountain-400-W</c:v>
                </c:pt>
                <c:pt idx="3">
                  <c:v>Mountain-500</c:v>
                </c:pt>
              </c:strCache>
            </c:strRef>
          </c:cat>
          <c:val>
            <c:numRef>
              <c:f>'pivot tables'!$Q$5:$Q$9</c:f>
              <c:numCache>
                <c:formatCode>General</c:formatCode>
                <c:ptCount val="4"/>
                <c:pt idx="0">
                  <c:v>269665</c:v>
                </c:pt>
                <c:pt idx="1">
                  <c:v>37150</c:v>
                </c:pt>
                <c:pt idx="2">
                  <c:v>21532</c:v>
                </c:pt>
                <c:pt idx="3">
                  <c:v>9970</c:v>
                </c:pt>
              </c:numCache>
            </c:numRef>
          </c:val>
          <c:extLst>
            <c:ext xmlns:c16="http://schemas.microsoft.com/office/drawing/2014/chart" uri="{C3380CC4-5D6E-409C-BE32-E72D297353CC}">
              <c16:uniqueId val="{00000000-A1E8-4CBF-A4C9-E09F697E04FA}"/>
            </c:ext>
          </c:extLst>
        </c:ser>
        <c:dLbls>
          <c:showLegendKey val="0"/>
          <c:showVal val="0"/>
          <c:showCatName val="0"/>
          <c:showSerName val="0"/>
          <c:showPercent val="0"/>
          <c:showBubbleSize val="0"/>
        </c:dLbls>
        <c:gapWidth val="219"/>
        <c:overlap val="-27"/>
        <c:axId val="2015315904"/>
        <c:axId val="2015316384"/>
      </c:barChart>
      <c:catAx>
        <c:axId val="20153159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15316384"/>
        <c:crosses val="autoZero"/>
        <c:auto val="1"/>
        <c:lblAlgn val="ctr"/>
        <c:lblOffset val="100"/>
        <c:noMultiLvlLbl val="0"/>
      </c:catAx>
      <c:valAx>
        <c:axId val="201531638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153159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project.xlsx]pivot tables!PivotTable18</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sales by size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tables'!$Y$4</c:f>
              <c:strCache>
                <c:ptCount val="1"/>
                <c:pt idx="0">
                  <c:v>Total</c:v>
                </c:pt>
              </c:strCache>
            </c:strRef>
          </c:tx>
          <c:spPr>
            <a:solidFill>
              <a:schemeClr val="accent1"/>
            </a:solidFill>
            <a:ln>
              <a:noFill/>
            </a:ln>
            <a:effectLst/>
          </c:spPr>
          <c:invertIfNegative val="0"/>
          <c:cat>
            <c:strRef>
              <c:f>'pivot tables'!$X$5:$X$11</c:f>
              <c:strCache>
                <c:ptCount val="6"/>
                <c:pt idx="0">
                  <c:v>38</c:v>
                </c:pt>
                <c:pt idx="1">
                  <c:v>46</c:v>
                </c:pt>
                <c:pt idx="2">
                  <c:v>42</c:v>
                </c:pt>
                <c:pt idx="3">
                  <c:v>48</c:v>
                </c:pt>
                <c:pt idx="4">
                  <c:v>44</c:v>
                </c:pt>
                <c:pt idx="5">
                  <c:v>40</c:v>
                </c:pt>
              </c:strCache>
            </c:strRef>
          </c:cat>
          <c:val>
            <c:numRef>
              <c:f>'pivot tables'!$Y$5:$Y$11</c:f>
              <c:numCache>
                <c:formatCode>General</c:formatCode>
                <c:ptCount val="6"/>
                <c:pt idx="0">
                  <c:v>135549</c:v>
                </c:pt>
                <c:pt idx="1">
                  <c:v>99752</c:v>
                </c:pt>
                <c:pt idx="2">
                  <c:v>81771</c:v>
                </c:pt>
                <c:pt idx="3">
                  <c:v>13500</c:v>
                </c:pt>
                <c:pt idx="4">
                  <c:v>5560</c:v>
                </c:pt>
                <c:pt idx="5">
                  <c:v>2185</c:v>
                </c:pt>
              </c:numCache>
            </c:numRef>
          </c:val>
          <c:extLst>
            <c:ext xmlns:c16="http://schemas.microsoft.com/office/drawing/2014/chart" uri="{C3380CC4-5D6E-409C-BE32-E72D297353CC}">
              <c16:uniqueId val="{00000000-50A8-48E8-9501-572139625246}"/>
            </c:ext>
          </c:extLst>
        </c:ser>
        <c:dLbls>
          <c:showLegendKey val="0"/>
          <c:showVal val="0"/>
          <c:showCatName val="0"/>
          <c:showSerName val="0"/>
          <c:showPercent val="0"/>
          <c:showBubbleSize val="0"/>
        </c:dLbls>
        <c:gapWidth val="182"/>
        <c:axId val="2015322624"/>
        <c:axId val="2015323104"/>
      </c:barChart>
      <c:catAx>
        <c:axId val="201532262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15323104"/>
        <c:crosses val="autoZero"/>
        <c:auto val="1"/>
        <c:lblAlgn val="ctr"/>
        <c:lblOffset val="100"/>
        <c:noMultiLvlLbl val="0"/>
      </c:catAx>
      <c:valAx>
        <c:axId val="201532310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153226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project.xlsx]pivot tables!PivotTable17</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sales by color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s>
    <c:plotArea>
      <c:layout/>
      <c:doughnutChart>
        <c:varyColors val="1"/>
        <c:ser>
          <c:idx val="0"/>
          <c:order val="0"/>
          <c:tx>
            <c:strRef>
              <c:f>'pivot tables'!$U$4</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1491-4179-AED3-76815876A55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1491-4179-AED3-76815876A556}"/>
              </c:ext>
            </c:extLst>
          </c:dPt>
          <c:cat>
            <c:strRef>
              <c:f>'pivot tables'!$T$5:$T$7</c:f>
              <c:strCache>
                <c:ptCount val="2"/>
                <c:pt idx="0">
                  <c:v>Black</c:v>
                </c:pt>
                <c:pt idx="1">
                  <c:v>Silver</c:v>
                </c:pt>
              </c:strCache>
            </c:strRef>
          </c:cat>
          <c:val>
            <c:numRef>
              <c:f>'pivot tables'!$U$5:$U$7</c:f>
              <c:numCache>
                <c:formatCode>General</c:formatCode>
                <c:ptCount val="2"/>
                <c:pt idx="0">
                  <c:v>201015</c:v>
                </c:pt>
                <c:pt idx="1">
                  <c:v>137302</c:v>
                </c:pt>
              </c:numCache>
            </c:numRef>
          </c:val>
          <c:extLst>
            <c:ext xmlns:c16="http://schemas.microsoft.com/office/drawing/2014/chart" uri="{C3380CC4-5D6E-409C-BE32-E72D297353CC}">
              <c16:uniqueId val="{00000004-1491-4179-AED3-76815876A556}"/>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10.xml"/><Relationship Id="rId7" Type="http://schemas.openxmlformats.org/officeDocument/2006/relationships/image" Target="../media/image2.png"/><Relationship Id="rId2" Type="http://schemas.openxmlformats.org/officeDocument/2006/relationships/chart" Target="../charts/chart9.xml"/><Relationship Id="rId1" Type="http://schemas.openxmlformats.org/officeDocument/2006/relationships/chart" Target="../charts/chart8.xml"/><Relationship Id="rId6" Type="http://schemas.openxmlformats.org/officeDocument/2006/relationships/chart" Target="../charts/chart13.xml"/><Relationship Id="rId5" Type="http://schemas.openxmlformats.org/officeDocument/2006/relationships/chart" Target="../charts/chart12.xml"/><Relationship Id="rId4" Type="http://schemas.openxmlformats.org/officeDocument/2006/relationships/chart" Target="../charts/chart11.xml"/></Relationships>
</file>

<file path=xl/drawings/drawing1.xml><?xml version="1.0" encoding="utf-8"?>
<xdr:wsDr xmlns:xdr="http://schemas.openxmlformats.org/drawingml/2006/spreadsheetDrawing" xmlns:a="http://schemas.openxmlformats.org/drawingml/2006/main">
  <xdr:twoCellAnchor>
    <xdr:from>
      <xdr:col>2</xdr:col>
      <xdr:colOff>15240</xdr:colOff>
      <xdr:row>7</xdr:row>
      <xdr:rowOff>3810</xdr:rowOff>
    </xdr:from>
    <xdr:to>
      <xdr:col>5</xdr:col>
      <xdr:colOff>601980</xdr:colOff>
      <xdr:row>22</xdr:row>
      <xdr:rowOff>3810</xdr:rowOff>
    </xdr:to>
    <xdr:graphicFrame macro="">
      <xdr:nvGraphicFramePr>
        <xdr:cNvPr id="2" name="Chart 1">
          <a:extLst>
            <a:ext uri="{FF2B5EF4-FFF2-40B4-BE49-F238E27FC236}">
              <a16:creationId xmlns:a16="http://schemas.microsoft.com/office/drawing/2014/main" id="{9765AC92-0EBF-63B4-6FFA-BAD57D9DA3B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883920</xdr:colOff>
      <xdr:row>25</xdr:row>
      <xdr:rowOff>167640</xdr:rowOff>
    </xdr:from>
    <xdr:to>
      <xdr:col>10</xdr:col>
      <xdr:colOff>601980</xdr:colOff>
      <xdr:row>41</xdr:row>
      <xdr:rowOff>41910</xdr:rowOff>
    </xdr:to>
    <xdr:graphicFrame macro="">
      <xdr:nvGraphicFramePr>
        <xdr:cNvPr id="3" name="Chart 2">
          <a:extLst>
            <a:ext uri="{FF2B5EF4-FFF2-40B4-BE49-F238E27FC236}">
              <a16:creationId xmlns:a16="http://schemas.microsoft.com/office/drawing/2014/main" id="{60C53E0D-93AC-4B96-A2FF-DB2C21768A3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213360</xdr:colOff>
      <xdr:row>9</xdr:row>
      <xdr:rowOff>179070</xdr:rowOff>
    </xdr:from>
    <xdr:to>
      <xdr:col>15</xdr:col>
      <xdr:colOff>266700</xdr:colOff>
      <xdr:row>24</xdr:row>
      <xdr:rowOff>179070</xdr:rowOff>
    </xdr:to>
    <xdr:graphicFrame macro="">
      <xdr:nvGraphicFramePr>
        <xdr:cNvPr id="4" name="Chart 3">
          <a:extLst>
            <a:ext uri="{FF2B5EF4-FFF2-40B4-BE49-F238E27FC236}">
              <a16:creationId xmlns:a16="http://schemas.microsoft.com/office/drawing/2014/main" id="{A513C1FF-78AD-E9FD-371D-F5F7DBFFE61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15</xdr:col>
      <xdr:colOff>510540</xdr:colOff>
      <xdr:row>10</xdr:row>
      <xdr:rowOff>3810</xdr:rowOff>
    </xdr:from>
    <xdr:to>
      <xdr:col>21</xdr:col>
      <xdr:colOff>45720</xdr:colOff>
      <xdr:row>25</xdr:row>
      <xdr:rowOff>3810</xdr:rowOff>
    </xdr:to>
    <xdr:graphicFrame macro="">
      <xdr:nvGraphicFramePr>
        <xdr:cNvPr id="5" name="Chart 4">
          <a:extLst>
            <a:ext uri="{FF2B5EF4-FFF2-40B4-BE49-F238E27FC236}">
              <a16:creationId xmlns:a16="http://schemas.microsoft.com/office/drawing/2014/main" id="{17CEF731-8F43-012B-A238-AD4D7D91C30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12</xdr:col>
      <xdr:colOff>243840</xdr:colOff>
      <xdr:row>25</xdr:row>
      <xdr:rowOff>156210</xdr:rowOff>
    </xdr:from>
    <xdr:to>
      <xdr:col>16</xdr:col>
      <xdr:colOff>990600</xdr:colOff>
      <xdr:row>40</xdr:row>
      <xdr:rowOff>156210</xdr:rowOff>
    </xdr:to>
    <xdr:graphicFrame macro="">
      <xdr:nvGraphicFramePr>
        <xdr:cNvPr id="6" name="Chart 5">
          <a:extLst>
            <a:ext uri="{FF2B5EF4-FFF2-40B4-BE49-F238E27FC236}">
              <a16:creationId xmlns:a16="http://schemas.microsoft.com/office/drawing/2014/main" id="{9F5226B4-275E-5CC3-EBF5-91CD1104769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21</xdr:col>
      <xdr:colOff>594360</xdr:colOff>
      <xdr:row>13</xdr:row>
      <xdr:rowOff>171450</xdr:rowOff>
    </xdr:from>
    <xdr:to>
      <xdr:col>27</xdr:col>
      <xdr:colOff>967740</xdr:colOff>
      <xdr:row>28</xdr:row>
      <xdr:rowOff>171450</xdr:rowOff>
    </xdr:to>
    <xdr:graphicFrame macro="">
      <xdr:nvGraphicFramePr>
        <xdr:cNvPr id="7" name="Chart 6">
          <a:extLst>
            <a:ext uri="{FF2B5EF4-FFF2-40B4-BE49-F238E27FC236}">
              <a16:creationId xmlns:a16="http://schemas.microsoft.com/office/drawing/2014/main" id="{EF1C993D-3BD5-9493-E48A-321B3217B74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28</xdr:col>
      <xdr:colOff>4930</xdr:colOff>
      <xdr:row>8</xdr:row>
      <xdr:rowOff>176381</xdr:rowOff>
    </xdr:from>
    <xdr:to>
      <xdr:col>34</xdr:col>
      <xdr:colOff>504713</xdr:colOff>
      <xdr:row>23</xdr:row>
      <xdr:rowOff>176381</xdr:rowOff>
    </xdr:to>
    <xdr:graphicFrame macro="">
      <xdr:nvGraphicFramePr>
        <xdr:cNvPr id="8" name="Chart 7">
          <a:extLst>
            <a:ext uri="{FF2B5EF4-FFF2-40B4-BE49-F238E27FC236}">
              <a16:creationId xmlns:a16="http://schemas.microsoft.com/office/drawing/2014/main" id="{F1A8F9F4-308E-52A4-FD6E-49F0C2819F8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5</xdr:col>
      <xdr:colOff>662491</xdr:colOff>
      <xdr:row>44</xdr:row>
      <xdr:rowOff>66787</xdr:rowOff>
    </xdr:from>
    <xdr:to>
      <xdr:col>7</xdr:col>
      <xdr:colOff>1146585</xdr:colOff>
      <xdr:row>58</xdr:row>
      <xdr:rowOff>23644</xdr:rowOff>
    </xdr:to>
    <mc:AlternateContent xmlns:mc="http://schemas.openxmlformats.org/markup-compatibility/2006">
      <mc:Choice xmlns:a14="http://schemas.microsoft.com/office/drawing/2010/main" Requires="a14">
        <xdr:graphicFrame macro="">
          <xdr:nvGraphicFramePr>
            <xdr:cNvPr id="9" name="Type">
              <a:extLst>
                <a:ext uri="{FF2B5EF4-FFF2-40B4-BE49-F238E27FC236}">
                  <a16:creationId xmlns:a16="http://schemas.microsoft.com/office/drawing/2014/main" id="{8B016CCD-C119-5B69-CCA5-D052B8AA95D9}"/>
                </a:ext>
              </a:extLst>
            </xdr:cNvPr>
            <xdr:cNvGraphicFramePr/>
          </xdr:nvGraphicFramePr>
          <xdr:xfrm>
            <a:off x="0" y="0"/>
            <a:ext cx="0" cy="0"/>
          </xdr:xfrm>
          <a:graphic>
            <a:graphicData uri="http://schemas.microsoft.com/office/drawing/2010/slicer">
              <sle:slicer xmlns:sle="http://schemas.microsoft.com/office/drawing/2010/slicer" name="Type"/>
            </a:graphicData>
          </a:graphic>
        </xdr:graphicFrame>
      </mc:Choice>
      <mc:Fallback>
        <xdr:sp macro="" textlink="">
          <xdr:nvSpPr>
            <xdr:cNvPr id="0" name=""/>
            <xdr:cNvSpPr>
              <a:spLocks noTextEdit="1"/>
            </xdr:cNvSpPr>
          </xdr:nvSpPr>
          <xdr:spPr>
            <a:xfrm>
              <a:off x="4831079" y="7955728"/>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187362</xdr:colOff>
      <xdr:row>44</xdr:row>
      <xdr:rowOff>120575</xdr:rowOff>
    </xdr:from>
    <xdr:to>
      <xdr:col>10</xdr:col>
      <xdr:colOff>124609</xdr:colOff>
      <xdr:row>58</xdr:row>
      <xdr:rowOff>77432</xdr:rowOff>
    </xdr:to>
    <mc:AlternateContent xmlns:mc="http://schemas.openxmlformats.org/markup-compatibility/2006">
      <mc:Choice xmlns:a14="http://schemas.microsoft.com/office/drawing/2010/main" Requires="a14">
        <xdr:graphicFrame macro="">
          <xdr:nvGraphicFramePr>
            <xdr:cNvPr id="10" name="Country">
              <a:extLst>
                <a:ext uri="{FF2B5EF4-FFF2-40B4-BE49-F238E27FC236}">
                  <a16:creationId xmlns:a16="http://schemas.microsoft.com/office/drawing/2014/main" id="{6AFA3D98-34BA-9455-ADB2-FB5408D027D5}"/>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dr:sp macro="" textlink="">
          <xdr:nvSpPr>
            <xdr:cNvPr id="0" name=""/>
            <xdr:cNvSpPr>
              <a:spLocks noTextEdit="1"/>
            </xdr:cNvSpPr>
          </xdr:nvSpPr>
          <xdr:spPr>
            <a:xfrm>
              <a:off x="6848138" y="8009516"/>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2</xdr:col>
      <xdr:colOff>330947</xdr:colOff>
      <xdr:row>10</xdr:row>
      <xdr:rowOff>46518</xdr:rowOff>
    </xdr:from>
    <xdr:to>
      <xdr:col>27</xdr:col>
      <xdr:colOff>530765</xdr:colOff>
      <xdr:row>44</xdr:row>
      <xdr:rowOff>8888</xdr:rowOff>
    </xdr:to>
    <xdr:sp macro="" textlink="">
      <xdr:nvSpPr>
        <xdr:cNvPr id="3" name="Rectangle: Rounded Corners 2">
          <a:extLst>
            <a:ext uri="{FF2B5EF4-FFF2-40B4-BE49-F238E27FC236}">
              <a16:creationId xmlns:a16="http://schemas.microsoft.com/office/drawing/2014/main" id="{41C45D3D-3619-AB5A-F046-73D63A951072}"/>
            </a:ext>
          </a:extLst>
        </xdr:cNvPr>
        <xdr:cNvSpPr/>
      </xdr:nvSpPr>
      <xdr:spPr>
        <a:xfrm>
          <a:off x="1675653" y="1839459"/>
          <a:ext cx="17008641" cy="6058370"/>
        </a:xfrm>
        <a:prstGeom prst="roundRect">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152399</xdr:colOff>
      <xdr:row>11</xdr:row>
      <xdr:rowOff>72934</xdr:rowOff>
    </xdr:from>
    <xdr:to>
      <xdr:col>19</xdr:col>
      <xdr:colOff>63910</xdr:colOff>
      <xdr:row>15</xdr:row>
      <xdr:rowOff>133895</xdr:rowOff>
    </xdr:to>
    <xdr:sp macro="" textlink="">
      <xdr:nvSpPr>
        <xdr:cNvPr id="12" name="Rectangle: Rounded Corners 11">
          <a:extLst>
            <a:ext uri="{FF2B5EF4-FFF2-40B4-BE49-F238E27FC236}">
              <a16:creationId xmlns:a16="http://schemas.microsoft.com/office/drawing/2014/main" id="{FE515002-958D-1927-C612-FA8FB90F0182}"/>
            </a:ext>
          </a:extLst>
        </xdr:cNvPr>
        <xdr:cNvSpPr/>
      </xdr:nvSpPr>
      <xdr:spPr>
        <a:xfrm>
          <a:off x="6901542" y="1988820"/>
          <a:ext cx="5985739" cy="757646"/>
        </a:xfrm>
        <a:prstGeom prst="roundRect">
          <a:avLst/>
        </a:prstGeom>
        <a:solidFill>
          <a:schemeClr val="bg1"/>
        </a:solidFill>
        <a:effectLst>
          <a:outerShdw blurRad="50800" dist="38100" dir="18900000" algn="b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800" b="1">
              <a:solidFill>
                <a:schemeClr val="tx1"/>
              </a:solidFill>
            </a:rPr>
            <a:t>Bikes</a:t>
          </a:r>
          <a:r>
            <a:rPr lang="en-US" sz="2800" b="1" baseline="0">
              <a:solidFill>
                <a:schemeClr val="tx1"/>
              </a:solidFill>
            </a:rPr>
            <a:t> Sales</a:t>
          </a:r>
          <a:endParaRPr lang="en-US" sz="2800" b="1">
            <a:solidFill>
              <a:schemeClr val="tx1"/>
            </a:solidFill>
          </a:endParaRPr>
        </a:p>
      </xdr:txBody>
    </xdr:sp>
    <xdr:clientData/>
  </xdr:twoCellAnchor>
  <xdr:twoCellAnchor>
    <xdr:from>
      <xdr:col>19</xdr:col>
      <xdr:colOff>295953</xdr:colOff>
      <xdr:row>11</xdr:row>
      <xdr:rowOff>66401</xdr:rowOff>
    </xdr:from>
    <xdr:to>
      <xdr:col>22</xdr:col>
      <xdr:colOff>638863</xdr:colOff>
      <xdr:row>15</xdr:row>
      <xdr:rowOff>118654</xdr:rowOff>
    </xdr:to>
    <xdr:sp macro="" textlink="">
      <xdr:nvSpPr>
        <xdr:cNvPr id="14" name="Rectangle: Rounded Corners 13">
          <a:extLst>
            <a:ext uri="{FF2B5EF4-FFF2-40B4-BE49-F238E27FC236}">
              <a16:creationId xmlns:a16="http://schemas.microsoft.com/office/drawing/2014/main" id="{897768D8-85DF-4A62-9240-11C1D34E95DF}"/>
            </a:ext>
          </a:extLst>
        </xdr:cNvPr>
        <xdr:cNvSpPr/>
      </xdr:nvSpPr>
      <xdr:spPr>
        <a:xfrm>
          <a:off x="13119324" y="1982287"/>
          <a:ext cx="2367653" cy="748938"/>
        </a:xfrm>
        <a:prstGeom prst="roundRect">
          <a:avLst/>
        </a:prstGeom>
        <a:solidFill>
          <a:schemeClr val="bg1"/>
        </a:solidFill>
        <a:effectLst>
          <a:outerShdw blurRad="50800" dist="38100" dir="18900000" algn="b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600" b="0">
              <a:solidFill>
                <a:schemeClr val="tx1"/>
              </a:solidFill>
            </a:rPr>
            <a:t>Number</a:t>
          </a:r>
          <a:r>
            <a:rPr lang="en-US" sz="1600" b="0" baseline="0">
              <a:solidFill>
                <a:schemeClr val="tx1"/>
              </a:solidFill>
            </a:rPr>
            <a:t> of Female : 48</a:t>
          </a:r>
          <a:endParaRPr lang="en-US" sz="1600" b="0">
            <a:solidFill>
              <a:schemeClr val="tx1"/>
            </a:solidFill>
          </a:endParaRPr>
        </a:p>
      </xdr:txBody>
    </xdr:sp>
    <xdr:clientData/>
  </xdr:twoCellAnchor>
  <xdr:twoCellAnchor>
    <xdr:from>
      <xdr:col>23</xdr:col>
      <xdr:colOff>202052</xdr:colOff>
      <xdr:row>11</xdr:row>
      <xdr:rowOff>69083</xdr:rowOff>
    </xdr:from>
    <xdr:to>
      <xdr:col>26</xdr:col>
      <xdr:colOff>544965</xdr:colOff>
      <xdr:row>15</xdr:row>
      <xdr:rowOff>89896</xdr:rowOff>
    </xdr:to>
    <xdr:sp macro="" textlink="">
      <xdr:nvSpPr>
        <xdr:cNvPr id="15" name="Rectangle: Rounded Corners 14">
          <a:extLst>
            <a:ext uri="{FF2B5EF4-FFF2-40B4-BE49-F238E27FC236}">
              <a16:creationId xmlns:a16="http://schemas.microsoft.com/office/drawing/2014/main" id="{BF90EADF-A898-4B09-BD3F-6CC380F13B51}"/>
            </a:ext>
          </a:extLst>
        </xdr:cNvPr>
        <xdr:cNvSpPr/>
      </xdr:nvSpPr>
      <xdr:spPr>
        <a:xfrm>
          <a:off x="15725081" y="1984969"/>
          <a:ext cx="2367655" cy="717498"/>
        </a:xfrm>
        <a:prstGeom prst="roundRect">
          <a:avLst/>
        </a:prstGeom>
        <a:solidFill>
          <a:schemeClr val="bg1"/>
        </a:solidFill>
        <a:effectLst>
          <a:outerShdw blurRad="50800" dist="38100" dir="18900000" algn="b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800" b="0">
              <a:solidFill>
                <a:schemeClr val="tx1"/>
              </a:solidFill>
            </a:rPr>
            <a:t>Number</a:t>
          </a:r>
          <a:r>
            <a:rPr lang="en-US" sz="1800" b="0" baseline="0">
              <a:solidFill>
                <a:schemeClr val="tx1"/>
              </a:solidFill>
            </a:rPr>
            <a:t> of Male : 39</a:t>
          </a:r>
          <a:endParaRPr lang="en-US" sz="1800" b="0">
            <a:solidFill>
              <a:schemeClr val="tx1"/>
            </a:solidFill>
          </a:endParaRPr>
        </a:p>
      </xdr:txBody>
    </xdr:sp>
    <xdr:clientData/>
  </xdr:twoCellAnchor>
  <xdr:twoCellAnchor>
    <xdr:from>
      <xdr:col>6</xdr:col>
      <xdr:colOff>446314</xdr:colOff>
      <xdr:row>11</xdr:row>
      <xdr:rowOff>88174</xdr:rowOff>
    </xdr:from>
    <xdr:to>
      <xdr:col>9</xdr:col>
      <xdr:colOff>613954</xdr:colOff>
      <xdr:row>15</xdr:row>
      <xdr:rowOff>149135</xdr:rowOff>
    </xdr:to>
    <xdr:sp macro="" textlink="">
      <xdr:nvSpPr>
        <xdr:cNvPr id="16" name="Rectangle: Rounded Corners 15">
          <a:extLst>
            <a:ext uri="{FF2B5EF4-FFF2-40B4-BE49-F238E27FC236}">
              <a16:creationId xmlns:a16="http://schemas.microsoft.com/office/drawing/2014/main" id="{56F1EB4F-A88E-44EF-A520-D6897F9AAEB7}"/>
            </a:ext>
          </a:extLst>
        </xdr:cNvPr>
        <xdr:cNvSpPr/>
      </xdr:nvSpPr>
      <xdr:spPr>
        <a:xfrm>
          <a:off x="4495800" y="2004060"/>
          <a:ext cx="2192383" cy="757646"/>
        </a:xfrm>
        <a:prstGeom prst="roundRect">
          <a:avLst/>
        </a:prstGeom>
        <a:solidFill>
          <a:schemeClr val="bg1"/>
        </a:solidFill>
        <a:effectLst>
          <a:outerShdw blurRad="50800" dist="38100" dir="18900000" algn="b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800" b="0">
              <a:solidFill>
                <a:schemeClr val="tx1"/>
              </a:solidFill>
            </a:rPr>
            <a:t>Total</a:t>
          </a:r>
          <a:r>
            <a:rPr lang="en-US" sz="1800" b="0" baseline="0">
              <a:solidFill>
                <a:schemeClr val="tx1"/>
              </a:solidFill>
            </a:rPr>
            <a:t> profits : 162220</a:t>
          </a:r>
          <a:endParaRPr lang="en-US" sz="1800" b="0">
            <a:solidFill>
              <a:schemeClr val="tx1"/>
            </a:solidFill>
          </a:endParaRPr>
        </a:p>
      </xdr:txBody>
    </xdr:sp>
    <xdr:clientData/>
  </xdr:twoCellAnchor>
  <xdr:twoCellAnchor>
    <xdr:from>
      <xdr:col>3</xdr:col>
      <xdr:colOff>137160</xdr:colOff>
      <xdr:row>11</xdr:row>
      <xdr:rowOff>95794</xdr:rowOff>
    </xdr:from>
    <xdr:to>
      <xdr:col>6</xdr:col>
      <xdr:colOff>243840</xdr:colOff>
      <xdr:row>15</xdr:row>
      <xdr:rowOff>149135</xdr:rowOff>
    </xdr:to>
    <xdr:sp macro="" textlink="">
      <xdr:nvSpPr>
        <xdr:cNvPr id="17" name="Rectangle: Rounded Corners 16">
          <a:extLst>
            <a:ext uri="{FF2B5EF4-FFF2-40B4-BE49-F238E27FC236}">
              <a16:creationId xmlns:a16="http://schemas.microsoft.com/office/drawing/2014/main" id="{C088D40A-1378-4DF9-A299-6FC3535A42F7}"/>
            </a:ext>
          </a:extLst>
        </xdr:cNvPr>
        <xdr:cNvSpPr/>
      </xdr:nvSpPr>
      <xdr:spPr>
        <a:xfrm>
          <a:off x="2161903" y="2011680"/>
          <a:ext cx="2131423" cy="750026"/>
        </a:xfrm>
        <a:prstGeom prst="roundRect">
          <a:avLst/>
        </a:prstGeom>
        <a:solidFill>
          <a:schemeClr val="bg1"/>
        </a:solidFill>
        <a:effectLst>
          <a:outerShdw blurRad="50800" dist="38100" dir="18900000" algn="b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800" b="0">
              <a:solidFill>
                <a:schemeClr val="tx1"/>
              </a:solidFill>
            </a:rPr>
            <a:t>Total</a:t>
          </a:r>
          <a:r>
            <a:rPr lang="en-US" sz="1800" b="0" baseline="0">
              <a:solidFill>
                <a:schemeClr val="tx1"/>
              </a:solidFill>
            </a:rPr>
            <a:t> sales : 358397</a:t>
          </a:r>
          <a:endParaRPr lang="en-US" sz="1800" b="0">
            <a:solidFill>
              <a:schemeClr val="tx1"/>
            </a:solidFill>
          </a:endParaRPr>
        </a:p>
      </xdr:txBody>
    </xdr:sp>
    <xdr:clientData/>
  </xdr:twoCellAnchor>
  <xdr:twoCellAnchor>
    <xdr:from>
      <xdr:col>23</xdr:col>
      <xdr:colOff>122679</xdr:colOff>
      <xdr:row>16</xdr:row>
      <xdr:rowOff>130525</xdr:rowOff>
    </xdr:from>
    <xdr:to>
      <xdr:col>26</xdr:col>
      <xdr:colOff>549521</xdr:colOff>
      <xdr:row>42</xdr:row>
      <xdr:rowOff>26773</xdr:rowOff>
    </xdr:to>
    <xdr:sp macro="" textlink="">
      <xdr:nvSpPr>
        <xdr:cNvPr id="19" name="Rectangle: Rounded Corners 18">
          <a:extLst>
            <a:ext uri="{FF2B5EF4-FFF2-40B4-BE49-F238E27FC236}">
              <a16:creationId xmlns:a16="http://schemas.microsoft.com/office/drawing/2014/main" id="{DD5E1FD9-F4C5-429C-A1C8-56A09D4A95B3}"/>
            </a:ext>
          </a:extLst>
        </xdr:cNvPr>
        <xdr:cNvSpPr/>
      </xdr:nvSpPr>
      <xdr:spPr>
        <a:xfrm>
          <a:off x="15586797" y="2999231"/>
          <a:ext cx="2443900" cy="4557895"/>
        </a:xfrm>
        <a:prstGeom prst="roundRect">
          <a:avLst/>
        </a:prstGeom>
        <a:solidFill>
          <a:schemeClr val="bg1"/>
        </a:solidFill>
        <a:effectLst>
          <a:outerShdw blurRad="50800" dist="38100" dir="18900000" algn="b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US" sz="2800" b="1">
            <a:solidFill>
              <a:schemeClr val="tx1"/>
            </a:solidFill>
          </a:endParaRPr>
        </a:p>
      </xdr:txBody>
    </xdr:sp>
    <xdr:clientData/>
  </xdr:twoCellAnchor>
  <xdr:twoCellAnchor>
    <xdr:from>
      <xdr:col>3</xdr:col>
      <xdr:colOff>64482</xdr:colOff>
      <xdr:row>16</xdr:row>
      <xdr:rowOff>152811</xdr:rowOff>
    </xdr:from>
    <xdr:to>
      <xdr:col>9</xdr:col>
      <xdr:colOff>600571</xdr:colOff>
      <xdr:row>27</xdr:row>
      <xdr:rowOff>168051</xdr:rowOff>
    </xdr:to>
    <xdr:graphicFrame macro="">
      <xdr:nvGraphicFramePr>
        <xdr:cNvPr id="20" name="Chart 19">
          <a:extLst>
            <a:ext uri="{FF2B5EF4-FFF2-40B4-BE49-F238E27FC236}">
              <a16:creationId xmlns:a16="http://schemas.microsoft.com/office/drawing/2014/main" id="{C0FA0FEB-B5CB-4D80-B441-BDAD24A638D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117822</xdr:colOff>
      <xdr:row>16</xdr:row>
      <xdr:rowOff>57337</xdr:rowOff>
    </xdr:from>
    <xdr:to>
      <xdr:col>15</xdr:col>
      <xdr:colOff>576815</xdr:colOff>
      <xdr:row>27</xdr:row>
      <xdr:rowOff>122331</xdr:rowOff>
    </xdr:to>
    <xdr:graphicFrame macro="">
      <xdr:nvGraphicFramePr>
        <xdr:cNvPr id="21" name="Chart 20">
          <a:extLst>
            <a:ext uri="{FF2B5EF4-FFF2-40B4-BE49-F238E27FC236}">
              <a16:creationId xmlns:a16="http://schemas.microsoft.com/office/drawing/2014/main" id="{228C9E6D-7A22-4748-827C-45D9FD0971E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16</xdr:col>
      <xdr:colOff>604591</xdr:colOff>
      <xdr:row>16</xdr:row>
      <xdr:rowOff>122946</xdr:rowOff>
    </xdr:from>
    <xdr:to>
      <xdr:col>22</xdr:col>
      <xdr:colOff>661863</xdr:colOff>
      <xdr:row>27</xdr:row>
      <xdr:rowOff>167478</xdr:rowOff>
    </xdr:to>
    <xdr:graphicFrame macro="">
      <xdr:nvGraphicFramePr>
        <xdr:cNvPr id="22" name="Chart 21">
          <a:extLst>
            <a:ext uri="{FF2B5EF4-FFF2-40B4-BE49-F238E27FC236}">
              <a16:creationId xmlns:a16="http://schemas.microsoft.com/office/drawing/2014/main" id="{09708687-8FE2-4292-BFE9-E6BE3C77B22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68614</xdr:colOff>
      <xdr:row>27</xdr:row>
      <xdr:rowOff>134083</xdr:rowOff>
    </xdr:from>
    <xdr:to>
      <xdr:col>10</xdr:col>
      <xdr:colOff>431909</xdr:colOff>
      <xdr:row>40</xdr:row>
      <xdr:rowOff>77666</xdr:rowOff>
    </xdr:to>
    <xdr:graphicFrame macro="">
      <xdr:nvGraphicFramePr>
        <xdr:cNvPr id="23" name="Chart 22">
          <a:extLst>
            <a:ext uri="{FF2B5EF4-FFF2-40B4-BE49-F238E27FC236}">
              <a16:creationId xmlns:a16="http://schemas.microsoft.com/office/drawing/2014/main" id="{807AB960-C95F-40E7-A2D3-EF70F11C008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10</xdr:col>
      <xdr:colOff>380712</xdr:colOff>
      <xdr:row>28</xdr:row>
      <xdr:rowOff>116133</xdr:rowOff>
    </xdr:from>
    <xdr:to>
      <xdr:col>18</xdr:col>
      <xdr:colOff>41330</xdr:colOff>
      <xdr:row>40</xdr:row>
      <xdr:rowOff>88590</xdr:rowOff>
    </xdr:to>
    <xdr:graphicFrame macro="">
      <xdr:nvGraphicFramePr>
        <xdr:cNvPr id="24" name="Chart 23">
          <a:extLst>
            <a:ext uri="{FF2B5EF4-FFF2-40B4-BE49-F238E27FC236}">
              <a16:creationId xmlns:a16="http://schemas.microsoft.com/office/drawing/2014/main" id="{526F0691-D7FC-44B3-8757-56EE544E0DE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16</xdr:col>
      <xdr:colOff>346091</xdr:colOff>
      <xdr:row>27</xdr:row>
      <xdr:rowOff>2644</xdr:rowOff>
    </xdr:from>
    <xdr:to>
      <xdr:col>22</xdr:col>
      <xdr:colOff>563541</xdr:colOff>
      <xdr:row>39</xdr:row>
      <xdr:rowOff>6315</xdr:rowOff>
    </xdr:to>
    <xdr:graphicFrame macro="">
      <xdr:nvGraphicFramePr>
        <xdr:cNvPr id="25" name="Chart 24">
          <a:extLst>
            <a:ext uri="{FF2B5EF4-FFF2-40B4-BE49-F238E27FC236}">
              <a16:creationId xmlns:a16="http://schemas.microsoft.com/office/drawing/2014/main" id="{49E697D0-5E5D-4617-BA59-A7E7EC3A036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23</xdr:col>
      <xdr:colOff>388906</xdr:colOff>
      <xdr:row>17</xdr:row>
      <xdr:rowOff>105884</xdr:rowOff>
    </xdr:from>
    <xdr:to>
      <xdr:col>26</xdr:col>
      <xdr:colOff>207215</xdr:colOff>
      <xdr:row>25</xdr:row>
      <xdr:rowOff>163299</xdr:rowOff>
    </xdr:to>
    <mc:AlternateContent xmlns:mc="http://schemas.openxmlformats.org/markup-compatibility/2006" xmlns:a14="http://schemas.microsoft.com/office/drawing/2010/main">
      <mc:Choice Requires="a14">
        <xdr:graphicFrame macro="">
          <xdr:nvGraphicFramePr>
            <xdr:cNvPr id="26" name="Type 1">
              <a:extLst>
                <a:ext uri="{FF2B5EF4-FFF2-40B4-BE49-F238E27FC236}">
                  <a16:creationId xmlns:a16="http://schemas.microsoft.com/office/drawing/2014/main" id="{750BFD6D-F8CE-423E-9083-61687E4648EB}"/>
                </a:ext>
              </a:extLst>
            </xdr:cNvPr>
            <xdr:cNvGraphicFramePr/>
          </xdr:nvGraphicFramePr>
          <xdr:xfrm>
            <a:off x="0" y="0"/>
            <a:ext cx="0" cy="0"/>
          </xdr:xfrm>
          <a:graphic>
            <a:graphicData uri="http://schemas.microsoft.com/office/drawing/2010/slicer">
              <sle:slicer xmlns:sle="http://schemas.microsoft.com/office/drawing/2010/slicer" name="Type 1"/>
            </a:graphicData>
          </a:graphic>
        </xdr:graphicFrame>
      </mc:Choice>
      <mc:Fallback xmlns="">
        <xdr:sp macro="" textlink="">
          <xdr:nvSpPr>
            <xdr:cNvPr id="0" name=""/>
            <xdr:cNvSpPr>
              <a:spLocks noTextEdit="1"/>
            </xdr:cNvSpPr>
          </xdr:nvSpPr>
          <xdr:spPr>
            <a:xfrm>
              <a:off x="15911935" y="3066798"/>
              <a:ext cx="1843051" cy="145078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390365</xdr:colOff>
      <xdr:row>25</xdr:row>
      <xdr:rowOff>177308</xdr:rowOff>
    </xdr:from>
    <xdr:to>
      <xdr:col>26</xdr:col>
      <xdr:colOff>208674</xdr:colOff>
      <xdr:row>41</xdr:row>
      <xdr:rowOff>144029</xdr:rowOff>
    </xdr:to>
    <mc:AlternateContent xmlns:mc="http://schemas.openxmlformats.org/markup-compatibility/2006" xmlns:a14="http://schemas.microsoft.com/office/drawing/2010/main">
      <mc:Choice Requires="a14">
        <xdr:graphicFrame macro="">
          <xdr:nvGraphicFramePr>
            <xdr:cNvPr id="27" name="Country 1">
              <a:extLst>
                <a:ext uri="{FF2B5EF4-FFF2-40B4-BE49-F238E27FC236}">
                  <a16:creationId xmlns:a16="http://schemas.microsoft.com/office/drawing/2014/main" id="{61830185-EECB-48B5-A45D-D0E363760C40}"/>
                </a:ext>
              </a:extLst>
            </xdr:cNvPr>
            <xdr:cNvGraphicFramePr/>
          </xdr:nvGraphicFramePr>
          <xdr:xfrm>
            <a:off x="0" y="0"/>
            <a:ext cx="0" cy="0"/>
          </xdr:xfrm>
          <a:graphic>
            <a:graphicData uri="http://schemas.microsoft.com/office/drawing/2010/slicer">
              <sle:slicer xmlns:sle="http://schemas.microsoft.com/office/drawing/2010/slicer" name="Country 1"/>
            </a:graphicData>
          </a:graphic>
        </xdr:graphicFrame>
      </mc:Choice>
      <mc:Fallback xmlns="">
        <xdr:sp macro="" textlink="">
          <xdr:nvSpPr>
            <xdr:cNvPr id="0" name=""/>
            <xdr:cNvSpPr>
              <a:spLocks noTextEdit="1"/>
            </xdr:cNvSpPr>
          </xdr:nvSpPr>
          <xdr:spPr>
            <a:xfrm>
              <a:off x="15913394" y="4531594"/>
              <a:ext cx="1843051" cy="275346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297410</xdr:colOff>
      <xdr:row>12</xdr:row>
      <xdr:rowOff>27820</xdr:rowOff>
    </xdr:from>
    <xdr:to>
      <xdr:col>12</xdr:col>
      <xdr:colOff>87806</xdr:colOff>
      <xdr:row>14</xdr:row>
      <xdr:rowOff>131078</xdr:rowOff>
    </xdr:to>
    <xdr:pic>
      <xdr:nvPicPr>
        <xdr:cNvPr id="29" name="Picture 28">
          <a:extLst>
            <a:ext uri="{FF2B5EF4-FFF2-40B4-BE49-F238E27FC236}">
              <a16:creationId xmlns:a16="http://schemas.microsoft.com/office/drawing/2014/main" id="{BC11FA5F-C5F9-267F-8B72-C8CD74141167}"/>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721467" y="2117877"/>
          <a:ext cx="465310" cy="451601"/>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IT" refreshedDate="45997.889236689814" createdVersion="8" refreshedVersion="8" minRefreshableVersion="3" recordCount="87" xr:uid="{7380C153-6905-439D-8426-B9275AFD0D37}">
  <cacheSource type="worksheet">
    <worksheetSource name="Bike_Sales"/>
  </cacheSource>
  <cacheFields count="22">
    <cacheField name="Sales_Order #" numFmtId="0">
      <sharedItems containsSemiMixedTypes="0" containsString="0" containsNumber="1" containsInteger="1" minValue="261695" maxValue="261782"/>
    </cacheField>
    <cacheField name="Date" numFmtId="14">
      <sharedItems containsSemiMixedTypes="0" containsNonDate="0" containsDate="1" containsString="0" minDate="2021-12-01T00:00:00" maxDate="2021-12-25T00:00:00"/>
    </cacheField>
    <cacheField name="Day" numFmtId="0">
      <sharedItems containsSemiMixedTypes="0" containsString="0" containsNumber="1" containsInteger="1" minValue="1" maxValue="24"/>
    </cacheField>
    <cacheField name="Month" numFmtId="0">
      <sharedItems/>
    </cacheField>
    <cacheField name="Year" numFmtId="0">
      <sharedItems containsSemiMixedTypes="0" containsString="0" containsNumber="1" containsInteger="1" minValue="2021" maxValue="2021"/>
    </cacheField>
    <cacheField name="Customer_Age" numFmtId="0">
      <sharedItems containsSemiMixedTypes="0" containsString="0" containsNumber="1" containsInteger="1" minValue="17" maxValue="63" count="28">
        <n v="39"/>
        <n v="44"/>
        <n v="37"/>
        <n v="31"/>
        <n v="24"/>
        <n v="42"/>
        <n v="35"/>
        <n v="23"/>
        <n v="27"/>
        <n v="36"/>
        <n v="47"/>
        <n v="30"/>
        <n v="38"/>
        <n v="19"/>
        <n v="33"/>
        <n v="41"/>
        <n v="34"/>
        <n v="40"/>
        <n v="26"/>
        <n v="32"/>
        <n v="49"/>
        <n v="29"/>
        <n v="17"/>
        <n v="25"/>
        <n v="63"/>
        <n v="18"/>
        <n v="56"/>
        <n v="57"/>
      </sharedItems>
    </cacheField>
    <cacheField name="Age_Group" numFmtId="0">
      <sharedItems count="3">
        <s v="Adults (35-64)"/>
        <s v="Young Adults (25-34)"/>
        <s v="Youth (&lt;25)"/>
      </sharedItems>
    </cacheField>
    <cacheField name="Customer_Gender" numFmtId="0">
      <sharedItems count="2">
        <s v="F"/>
        <s v="M"/>
      </sharedItems>
    </cacheField>
    <cacheField name="Country" numFmtId="0">
      <sharedItems count="9">
        <s v="United States"/>
        <s v="United Kingdom"/>
        <s v=" United States"/>
        <s v="Australia"/>
        <s v="United  States"/>
        <s v="United States "/>
        <s v="Germany"/>
        <s v="Canada"/>
        <s v="France"/>
      </sharedItems>
    </cacheField>
    <cacheField name="State" numFmtId="0">
      <sharedItems count="17">
        <s v="California"/>
        <s v="England"/>
        <s v="New South Wales"/>
        <s v="Washington"/>
        <s v="Nordrhein-Westfalen"/>
        <s v="Queensland"/>
        <s v="British Columbia"/>
        <s v="Victoria"/>
        <s v="Hamburg"/>
        <s v="Seine (Paris)"/>
        <s v="Seine et Marne"/>
        <s v="Seine Saint Denis"/>
        <s v="Nord"/>
        <s v="Oregon"/>
        <s v="South Australia"/>
        <s v="Hessen"/>
        <s v="Somme"/>
      </sharedItems>
    </cacheField>
    <cacheField name="Product_Category" numFmtId="0">
      <sharedItems/>
    </cacheField>
    <cacheField name="Sub_Category" numFmtId="0">
      <sharedItems/>
    </cacheField>
    <cacheField name="Product_Description" numFmtId="0">
      <sharedItems/>
    </cacheField>
    <cacheField name="Type" numFmtId="0">
      <sharedItems count="4">
        <s v="Mountain-200"/>
        <s v="Mountain-400-W"/>
        <s v="Mountain-500"/>
        <s v="Mountain-100"/>
      </sharedItems>
    </cacheField>
    <cacheField name="Color" numFmtId="0">
      <sharedItems count="2">
        <s v="Black"/>
        <s v="Silver"/>
      </sharedItems>
    </cacheField>
    <cacheField name="Size" numFmtId="0">
      <sharedItems count="7">
        <s v="46"/>
        <s v="42"/>
        <s v="38"/>
        <s v="40"/>
        <s v="44"/>
        <s v="48"/>
        <s v="52"/>
      </sharedItems>
    </cacheField>
    <cacheField name="Order_Quantity" numFmtId="0">
      <sharedItems containsSemiMixedTypes="0" containsString="0" containsNumber="1" containsInteger="1" minValue="1" maxValue="4"/>
    </cacheField>
    <cacheField name=" Unit_Cost " numFmtId="0">
      <sharedItems containsSemiMixedTypes="0" containsString="0" containsNumber="1" containsInteger="1" minValue="295" maxValue="1912"/>
    </cacheField>
    <cacheField name=" Unit_Price " numFmtId="0">
      <sharedItems containsSemiMixedTypes="0" containsString="0" containsNumber="1" containsInteger="1" minValue="540" maxValue="3400"/>
    </cacheField>
    <cacheField name=" Profit " numFmtId="0">
      <sharedItems containsSemiMixedTypes="0" containsString="0" containsNumber="1" containsInteger="1" minValue="245" maxValue="5908"/>
    </cacheField>
    <cacheField name=" Cost " numFmtId="0">
      <sharedItems containsSemiMixedTypes="0" containsString="0" containsNumber="1" containsInteger="1" minValue="295" maxValue="7592"/>
    </cacheField>
    <cacheField name="Revenue" numFmtId="0">
      <sharedItems containsSemiMixedTypes="0" containsString="0" containsNumber="1" containsInteger="1" minValue="540" maxValue="13500"/>
    </cacheField>
  </cacheFields>
  <extLst>
    <ext xmlns:x14="http://schemas.microsoft.com/office/spreadsheetml/2009/9/main" uri="{725AE2AE-9491-48be-B2B4-4EB974FC3084}">
      <x14:pivotCacheDefinition pivotCacheId="64270476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7">
  <r>
    <n v="261695"/>
    <d v="2021-12-01T00:00:00"/>
    <n v="1"/>
    <s v="December"/>
    <n v="2021"/>
    <x v="0"/>
    <x v="0"/>
    <x v="0"/>
    <x v="0"/>
    <x v="0"/>
    <s v="Bikes"/>
    <s v="Mountain Bikes"/>
    <s v="Mountain-200 Black, 46"/>
    <x v="0"/>
    <x v="0"/>
    <x v="0"/>
    <n v="4"/>
    <n v="1252"/>
    <n v="2295"/>
    <n v="4172"/>
    <n v="5008"/>
    <n v="9180"/>
  </r>
  <r>
    <n v="261695"/>
    <d v="2021-12-01T00:00:00"/>
    <n v="1"/>
    <s v="December"/>
    <n v="2021"/>
    <x v="1"/>
    <x v="0"/>
    <x v="1"/>
    <x v="1"/>
    <x v="1"/>
    <s v="Bikes"/>
    <s v="Mountain Bikes"/>
    <s v="Mountain-200 Silver, 42"/>
    <x v="0"/>
    <x v="1"/>
    <x v="1"/>
    <n v="1"/>
    <n v="1266"/>
    <n v="2320"/>
    <n v="1054"/>
    <n v="1266"/>
    <n v="2320"/>
  </r>
  <r>
    <n v="261697"/>
    <d v="2021-12-02T00:00:00"/>
    <n v="2"/>
    <s v="December"/>
    <n v="2021"/>
    <x v="2"/>
    <x v="0"/>
    <x v="1"/>
    <x v="2"/>
    <x v="0"/>
    <s v="Bikes"/>
    <s v="Mountain Bikes"/>
    <s v="Mountain-400-W Silver, 46"/>
    <x v="1"/>
    <x v="1"/>
    <x v="0"/>
    <n v="2"/>
    <n v="420"/>
    <n v="769"/>
    <n v="698"/>
    <n v="840"/>
    <n v="1538"/>
  </r>
  <r>
    <n v="261698"/>
    <d v="2021-12-02T00:00:00"/>
    <n v="2"/>
    <s v="December"/>
    <n v="2021"/>
    <x v="3"/>
    <x v="1"/>
    <x v="0"/>
    <x v="3"/>
    <x v="2"/>
    <s v="Bikes"/>
    <s v="Mountain Bikes"/>
    <s v="Mountain-400-W Silver, 42"/>
    <x v="1"/>
    <x v="1"/>
    <x v="1"/>
    <n v="1"/>
    <n v="420"/>
    <n v="769"/>
    <n v="349"/>
    <n v="420"/>
    <n v="769"/>
  </r>
  <r>
    <n v="261699"/>
    <d v="2021-12-03T00:00:00"/>
    <n v="3"/>
    <s v="December"/>
    <n v="2021"/>
    <x v="2"/>
    <x v="0"/>
    <x v="0"/>
    <x v="4"/>
    <x v="0"/>
    <s v="Bikes"/>
    <s v="Mountain Bikes"/>
    <s v="Mountain-200 Black, 46"/>
    <x v="0"/>
    <x v="0"/>
    <x v="0"/>
    <n v="2"/>
    <n v="1252"/>
    <n v="2295"/>
    <n v="2086"/>
    <n v="2504"/>
    <n v="4590"/>
  </r>
  <r>
    <n v="261700"/>
    <d v="2021-12-03T00:00:00"/>
    <n v="3"/>
    <s v="December"/>
    <n v="2021"/>
    <x v="4"/>
    <x v="2"/>
    <x v="0"/>
    <x v="1"/>
    <x v="1"/>
    <s v="Bikes"/>
    <s v="Mountain Bikes"/>
    <s v="Mountain-200 Black, 38"/>
    <x v="0"/>
    <x v="0"/>
    <x v="2"/>
    <n v="1"/>
    <n v="1252"/>
    <n v="2295"/>
    <n v="1043"/>
    <n v="1252"/>
    <n v="2295"/>
  </r>
  <r>
    <n v="261701"/>
    <d v="2021-12-03T00:00:00"/>
    <n v="3"/>
    <s v="December"/>
    <n v="2021"/>
    <x v="2"/>
    <x v="0"/>
    <x v="1"/>
    <x v="5"/>
    <x v="3"/>
    <s v="Bikes"/>
    <s v="Mountain Bikes"/>
    <s v="Mountain-200 Black, 46"/>
    <x v="0"/>
    <x v="0"/>
    <x v="0"/>
    <n v="1"/>
    <n v="1252"/>
    <n v="2295"/>
    <n v="1043"/>
    <n v="1252"/>
    <n v="2295"/>
  </r>
  <r>
    <n v="261701"/>
    <d v="2021-12-03T00:00:00"/>
    <n v="3"/>
    <s v="December"/>
    <n v="2021"/>
    <x v="2"/>
    <x v="0"/>
    <x v="1"/>
    <x v="0"/>
    <x v="3"/>
    <s v="Bikes"/>
    <s v="Mountain Bikes"/>
    <s v="Mountain-200 Black, 46"/>
    <x v="0"/>
    <x v="0"/>
    <x v="0"/>
    <n v="1"/>
    <n v="1252"/>
    <n v="2295"/>
    <n v="1043"/>
    <n v="1252"/>
    <n v="2295"/>
  </r>
  <r>
    <n v="261702"/>
    <d v="2021-12-04T00:00:00"/>
    <n v="4"/>
    <s v="December"/>
    <n v="2021"/>
    <x v="3"/>
    <x v="1"/>
    <x v="0"/>
    <x v="3"/>
    <x v="2"/>
    <s v="Bikes"/>
    <s v="Mountain Bikes"/>
    <s v="Mountain-400-W Silver, 42"/>
    <x v="1"/>
    <x v="1"/>
    <x v="1"/>
    <n v="4"/>
    <n v="420"/>
    <n v="769"/>
    <n v="1396"/>
    <n v="1680"/>
    <n v="3076"/>
  </r>
  <r>
    <n v="261703"/>
    <d v="2021-12-05T00:00:00"/>
    <n v="5"/>
    <s v="December"/>
    <n v="2021"/>
    <x v="0"/>
    <x v="0"/>
    <x v="0"/>
    <x v="0"/>
    <x v="0"/>
    <s v="Bikes"/>
    <s v="Mountain Bikes"/>
    <s v="Mountain-200 Black, 46"/>
    <x v="0"/>
    <x v="0"/>
    <x v="0"/>
    <n v="4"/>
    <n v="1252"/>
    <n v="2295"/>
    <n v="4172"/>
    <n v="5008"/>
    <n v="9180"/>
  </r>
  <r>
    <n v="261704"/>
    <d v="2021-12-05T00:00:00"/>
    <n v="5"/>
    <s v="December"/>
    <n v="2021"/>
    <x v="5"/>
    <x v="0"/>
    <x v="1"/>
    <x v="6"/>
    <x v="4"/>
    <s v="Bikes"/>
    <s v="Mountain Bikes"/>
    <s v="Mountain-200 Black, 38"/>
    <x v="0"/>
    <x v="0"/>
    <x v="2"/>
    <n v="4"/>
    <n v="1252"/>
    <n v="2295"/>
    <n v="4172"/>
    <n v="5008"/>
    <n v="9180"/>
  </r>
  <r>
    <n v="261705"/>
    <d v="2021-12-05T00:00:00"/>
    <n v="5"/>
    <s v="December"/>
    <n v="2021"/>
    <x v="6"/>
    <x v="0"/>
    <x v="0"/>
    <x v="3"/>
    <x v="5"/>
    <s v="Bikes"/>
    <s v="Mountain Bikes"/>
    <s v="Mountain-200 Silver, 38"/>
    <x v="0"/>
    <x v="1"/>
    <x v="2"/>
    <n v="1"/>
    <n v="1266"/>
    <n v="2320"/>
    <n v="1054"/>
    <n v="1266"/>
    <n v="2320"/>
  </r>
  <r>
    <n v="261706"/>
    <d v="2021-12-05T00:00:00"/>
    <n v="5"/>
    <s v="December"/>
    <n v="2021"/>
    <x v="2"/>
    <x v="0"/>
    <x v="0"/>
    <x v="0"/>
    <x v="0"/>
    <s v="Bikes"/>
    <s v="Mountain Bikes"/>
    <s v="Mountain-200 Black, 46"/>
    <x v="0"/>
    <x v="0"/>
    <x v="0"/>
    <n v="1"/>
    <n v="1252"/>
    <n v="2295"/>
    <n v="1043"/>
    <n v="1252"/>
    <n v="2295"/>
  </r>
  <r>
    <n v="261707"/>
    <d v="2021-12-06T00:00:00"/>
    <n v="6"/>
    <s v="December"/>
    <n v="2021"/>
    <x v="7"/>
    <x v="2"/>
    <x v="1"/>
    <x v="1"/>
    <x v="1"/>
    <s v="Bikes"/>
    <s v="Mountain Bikes"/>
    <s v="Mountain-400-W Silver, 46"/>
    <x v="1"/>
    <x v="1"/>
    <x v="0"/>
    <n v="3"/>
    <n v="420"/>
    <n v="769"/>
    <n v="1047"/>
    <n v="1260"/>
    <n v="2307"/>
  </r>
  <r>
    <n v="261708"/>
    <d v="2021-12-06T00:00:00"/>
    <n v="6"/>
    <s v="December"/>
    <n v="2021"/>
    <x v="8"/>
    <x v="1"/>
    <x v="1"/>
    <x v="7"/>
    <x v="6"/>
    <s v="Bikes"/>
    <s v="Mountain Bikes"/>
    <s v="Mountain-200 Black, 46"/>
    <x v="0"/>
    <x v="0"/>
    <x v="0"/>
    <n v="1"/>
    <n v="1252"/>
    <n v="2295"/>
    <n v="1043"/>
    <n v="1252"/>
    <n v="2295"/>
  </r>
  <r>
    <n v="261709"/>
    <d v="2021-12-06T00:00:00"/>
    <n v="6"/>
    <s v="December"/>
    <n v="2021"/>
    <x v="9"/>
    <x v="0"/>
    <x v="1"/>
    <x v="3"/>
    <x v="2"/>
    <s v="Bikes"/>
    <s v="Mountain Bikes"/>
    <s v="Mountain-200 Black, 42"/>
    <x v="0"/>
    <x v="0"/>
    <x v="1"/>
    <n v="1"/>
    <n v="1252"/>
    <n v="2295"/>
    <n v="1043"/>
    <n v="1252"/>
    <n v="2295"/>
  </r>
  <r>
    <n v="261710"/>
    <d v="2021-12-06T00:00:00"/>
    <n v="6"/>
    <s v="December"/>
    <n v="2021"/>
    <x v="10"/>
    <x v="0"/>
    <x v="1"/>
    <x v="1"/>
    <x v="1"/>
    <s v="Bikes"/>
    <s v="Mountain Bikes"/>
    <s v="Mountain-200 Silver, 38"/>
    <x v="0"/>
    <x v="1"/>
    <x v="2"/>
    <n v="1"/>
    <n v="1266"/>
    <n v="2320"/>
    <n v="1054"/>
    <n v="1266"/>
    <n v="2320"/>
  </r>
  <r>
    <n v="261711"/>
    <d v="2021-12-07T00:00:00"/>
    <n v="7"/>
    <s v="Decmber"/>
    <n v="2021"/>
    <x v="11"/>
    <x v="1"/>
    <x v="1"/>
    <x v="0"/>
    <x v="0"/>
    <s v="Bikes"/>
    <s v="Mountain Bikes"/>
    <s v="Mountain-400-W Silver, 38"/>
    <x v="1"/>
    <x v="1"/>
    <x v="2"/>
    <n v="4"/>
    <n v="420"/>
    <n v="769"/>
    <n v="1396"/>
    <n v="1680"/>
    <n v="3076"/>
  </r>
  <r>
    <n v="261712"/>
    <d v="2021-12-07T00:00:00"/>
    <n v="7"/>
    <s v="December"/>
    <n v="2021"/>
    <x v="12"/>
    <x v="0"/>
    <x v="1"/>
    <x v="0"/>
    <x v="0"/>
    <s v="Bikes"/>
    <s v="Mountain Bikes"/>
    <s v="Mountain-200 Silver, 42"/>
    <x v="0"/>
    <x v="1"/>
    <x v="1"/>
    <n v="2"/>
    <n v="1266"/>
    <n v="2320"/>
    <n v="2108"/>
    <n v="2532"/>
    <n v="4640"/>
  </r>
  <r>
    <n v="261713"/>
    <d v="2021-12-08T00:00:00"/>
    <n v="8"/>
    <s v="December"/>
    <n v="2021"/>
    <x v="13"/>
    <x v="2"/>
    <x v="0"/>
    <x v="3"/>
    <x v="2"/>
    <s v="Bikes"/>
    <s v="Mountain Bikes"/>
    <s v="Mountain-500 Silver, 42"/>
    <x v="2"/>
    <x v="1"/>
    <x v="1"/>
    <n v="4"/>
    <n v="308"/>
    <n v="565"/>
    <n v="1028"/>
    <n v="1232"/>
    <n v="2260"/>
  </r>
  <r>
    <n v="261714"/>
    <d v="2021-12-08T00:00:00"/>
    <n v="8"/>
    <s v="December"/>
    <n v="2021"/>
    <x v="11"/>
    <x v="1"/>
    <x v="0"/>
    <x v="7"/>
    <x v="6"/>
    <s v="Bikes"/>
    <s v="Mountain Bikes"/>
    <s v="Mountain-200 Silver, 38"/>
    <x v="0"/>
    <x v="1"/>
    <x v="2"/>
    <n v="4"/>
    <n v="1266"/>
    <n v="2320"/>
    <n v="4216"/>
    <n v="5064"/>
    <n v="9280"/>
  </r>
  <r>
    <n v="261717"/>
    <d v="2021-12-09T00:00:00"/>
    <n v="9"/>
    <s v="December"/>
    <n v="2021"/>
    <x v="14"/>
    <x v="1"/>
    <x v="0"/>
    <x v="3"/>
    <x v="7"/>
    <s v="Bikes"/>
    <s v="Mountain Bikes"/>
    <s v="Mountain-100 Black, 38"/>
    <x v="3"/>
    <x v="0"/>
    <x v="2"/>
    <n v="2"/>
    <n v="1898"/>
    <n v="3375"/>
    <n v="2954"/>
    <n v="3796"/>
    <n v="6750"/>
  </r>
  <r>
    <n v="261718"/>
    <d v="2021-12-09T00:00:00"/>
    <n v="9"/>
    <s v="December"/>
    <n v="2021"/>
    <x v="15"/>
    <x v="0"/>
    <x v="0"/>
    <x v="6"/>
    <x v="8"/>
    <s v="Bikes"/>
    <s v="Mountain Bikes"/>
    <s v="Mountain-200 Silver, 42"/>
    <x v="0"/>
    <x v="1"/>
    <x v="1"/>
    <n v="1"/>
    <n v="1266"/>
    <n v="2320"/>
    <n v="1054"/>
    <n v="1266"/>
    <n v="2320"/>
  </r>
  <r>
    <n v="261719"/>
    <d v="2021-12-10T00:00:00"/>
    <n v="10"/>
    <s v="December"/>
    <n v="2021"/>
    <x v="16"/>
    <x v="1"/>
    <x v="0"/>
    <x v="0"/>
    <x v="0"/>
    <s v="Bikes"/>
    <s v="Mountain Bikes"/>
    <s v="Mountain-200 Black, 42"/>
    <x v="0"/>
    <x v="0"/>
    <x v="1"/>
    <n v="2"/>
    <n v="1252"/>
    <n v="2295"/>
    <n v="2086"/>
    <n v="2504"/>
    <n v="4590"/>
  </r>
  <r>
    <n v="261720"/>
    <d v="2021-12-10T00:00:00"/>
    <n v="10"/>
    <s v="December"/>
    <n v="2021"/>
    <x v="17"/>
    <x v="0"/>
    <x v="1"/>
    <x v="3"/>
    <x v="2"/>
    <s v="Bikes"/>
    <s v="Mountain Bikes"/>
    <s v="Mountain-200 Black, 42"/>
    <x v="0"/>
    <x v="0"/>
    <x v="1"/>
    <n v="2"/>
    <n v="1252"/>
    <n v="2295"/>
    <n v="2086"/>
    <n v="2504"/>
    <n v="4590"/>
  </r>
  <r>
    <n v="261721"/>
    <d v="2021-12-10T00:00:00"/>
    <n v="10"/>
    <s v="December"/>
    <n v="2021"/>
    <x v="18"/>
    <x v="1"/>
    <x v="1"/>
    <x v="1"/>
    <x v="1"/>
    <s v="Bikes"/>
    <s v="Mountain Bikes"/>
    <s v="Mountain-200 Black, 38"/>
    <x v="0"/>
    <x v="0"/>
    <x v="2"/>
    <n v="1"/>
    <n v="1252"/>
    <n v="2295"/>
    <n v="1043"/>
    <n v="1252"/>
    <n v="2295"/>
  </r>
  <r>
    <n v="261722"/>
    <d v="2021-12-10T00:00:00"/>
    <n v="10"/>
    <s v="December"/>
    <n v="2021"/>
    <x v="16"/>
    <x v="1"/>
    <x v="1"/>
    <x v="0"/>
    <x v="0"/>
    <s v="Bikes"/>
    <s v="Mountain Bikes"/>
    <s v="Mountain-500 Black, 40"/>
    <x v="2"/>
    <x v="0"/>
    <x v="3"/>
    <n v="1"/>
    <n v="295"/>
    <n v="540"/>
    <n v="245"/>
    <n v="295"/>
    <n v="540"/>
  </r>
  <r>
    <n v="261723"/>
    <d v="2021-12-10T00:00:00"/>
    <n v="10"/>
    <s v="December"/>
    <n v="2021"/>
    <x v="16"/>
    <x v="1"/>
    <x v="0"/>
    <x v="0"/>
    <x v="3"/>
    <s v="Bikes"/>
    <s v="Mountain Bikes"/>
    <s v="Mountain-100 Silver, 44"/>
    <x v="3"/>
    <x v="1"/>
    <x v="4"/>
    <n v="1"/>
    <n v="1912"/>
    <n v="3400"/>
    <n v="1488"/>
    <n v="1912"/>
    <n v="3400"/>
  </r>
  <r>
    <n v="261724"/>
    <d v="2021-12-10T00:00:00"/>
    <n v="10"/>
    <s v="December"/>
    <n v="2021"/>
    <x v="12"/>
    <x v="0"/>
    <x v="1"/>
    <x v="3"/>
    <x v="2"/>
    <s v="Bikes"/>
    <s v="Mountain Bikes"/>
    <s v="Mountain-200 Black, 38"/>
    <x v="0"/>
    <x v="0"/>
    <x v="2"/>
    <n v="1"/>
    <n v="1252"/>
    <n v="2295"/>
    <n v="1043"/>
    <n v="1252"/>
    <n v="2295"/>
  </r>
  <r>
    <n v="261725"/>
    <d v="2021-12-11T00:00:00"/>
    <n v="11"/>
    <s v="December"/>
    <n v="2021"/>
    <x v="4"/>
    <x v="2"/>
    <x v="0"/>
    <x v="8"/>
    <x v="9"/>
    <s v="Bikes"/>
    <s v="Mountain Bikes"/>
    <s v="Mountain-200 Black, 38"/>
    <x v="0"/>
    <x v="0"/>
    <x v="2"/>
    <n v="3"/>
    <n v="1252"/>
    <n v="2295"/>
    <n v="3129"/>
    <n v="3756"/>
    <n v="6885"/>
  </r>
  <r>
    <n v="261726"/>
    <d v="2021-12-11T00:00:00"/>
    <n v="11"/>
    <s v="December"/>
    <n v="2021"/>
    <x v="15"/>
    <x v="0"/>
    <x v="0"/>
    <x v="3"/>
    <x v="2"/>
    <s v="Bikes"/>
    <s v="Mountain Bikes"/>
    <s v="Mountain-400-W Silver, 38"/>
    <x v="1"/>
    <x v="1"/>
    <x v="2"/>
    <n v="2"/>
    <n v="420"/>
    <n v="769"/>
    <n v="698"/>
    <n v="840"/>
    <n v="1538"/>
  </r>
  <r>
    <n v="261727"/>
    <d v="2021-12-11T00:00:00"/>
    <n v="11"/>
    <s v="December"/>
    <n v="2021"/>
    <x v="8"/>
    <x v="1"/>
    <x v="1"/>
    <x v="7"/>
    <x v="6"/>
    <s v="Bikes"/>
    <s v="Mountain Bikes"/>
    <s v="Mountain-200 Black, 46"/>
    <x v="0"/>
    <x v="0"/>
    <x v="0"/>
    <n v="1"/>
    <n v="1252"/>
    <n v="2295"/>
    <n v="1043"/>
    <n v="1252"/>
    <n v="2295"/>
  </r>
  <r>
    <n v="261728"/>
    <d v="2021-12-11T00:00:00"/>
    <n v="11"/>
    <s v="December"/>
    <n v="2021"/>
    <x v="2"/>
    <x v="0"/>
    <x v="1"/>
    <x v="0"/>
    <x v="0"/>
    <s v="Bikes"/>
    <s v="Mountain Bikes"/>
    <s v="Mountain-400-W Silver, 46"/>
    <x v="1"/>
    <x v="1"/>
    <x v="0"/>
    <n v="1"/>
    <n v="420"/>
    <n v="769"/>
    <n v="349"/>
    <n v="420"/>
    <n v="769"/>
  </r>
  <r>
    <n v="261729"/>
    <d v="2021-12-11T00:00:00"/>
    <n v="11"/>
    <s v="December"/>
    <n v="2021"/>
    <x v="12"/>
    <x v="0"/>
    <x v="0"/>
    <x v="0"/>
    <x v="0"/>
    <s v="Bikes"/>
    <s v="Mountain Bikes"/>
    <s v="Mountain-200 Silver, 38"/>
    <x v="0"/>
    <x v="1"/>
    <x v="2"/>
    <n v="1"/>
    <n v="1266"/>
    <n v="2320"/>
    <n v="1054"/>
    <n v="1266"/>
    <n v="2320"/>
  </r>
  <r>
    <n v="261730"/>
    <d v="2021-12-12T00:00:00"/>
    <n v="12"/>
    <s v="December"/>
    <n v="2021"/>
    <x v="9"/>
    <x v="0"/>
    <x v="0"/>
    <x v="3"/>
    <x v="2"/>
    <s v="Bikes"/>
    <s v="Mountain Bikes"/>
    <s v="Mountain-200 Silver, 42"/>
    <x v="0"/>
    <x v="1"/>
    <x v="1"/>
    <n v="4"/>
    <n v="1266"/>
    <n v="2320"/>
    <n v="4216"/>
    <n v="5064"/>
    <n v="9280"/>
  </r>
  <r>
    <n v="261731"/>
    <d v="2021-12-12T00:00:00"/>
    <n v="12"/>
    <s v="December"/>
    <n v="2021"/>
    <x v="2"/>
    <x v="0"/>
    <x v="1"/>
    <x v="0"/>
    <x v="0"/>
    <s v="Bikes"/>
    <s v="Mountain Bikes"/>
    <s v="Mountain-400-W Silver, 46"/>
    <x v="1"/>
    <x v="1"/>
    <x v="0"/>
    <n v="4"/>
    <n v="420"/>
    <n v="769"/>
    <n v="1396"/>
    <n v="1680"/>
    <n v="3076"/>
  </r>
  <r>
    <n v="261732"/>
    <d v="2021-12-12T00:00:00"/>
    <n v="12"/>
    <s v="December"/>
    <n v="2021"/>
    <x v="16"/>
    <x v="1"/>
    <x v="1"/>
    <x v="3"/>
    <x v="2"/>
    <s v="Bikes"/>
    <s v="Mountain Bikes"/>
    <s v="Mountain-200 Black, 38"/>
    <x v="0"/>
    <x v="0"/>
    <x v="2"/>
    <n v="2"/>
    <n v="1252"/>
    <n v="2295"/>
    <n v="2086"/>
    <n v="2504"/>
    <n v="4590"/>
  </r>
  <r>
    <n v="261733"/>
    <d v="2021-12-12T00:00:00"/>
    <n v="12"/>
    <s v="December"/>
    <n v="2021"/>
    <x v="6"/>
    <x v="0"/>
    <x v="0"/>
    <x v="3"/>
    <x v="7"/>
    <s v="Bikes"/>
    <s v="Mountain Bikes"/>
    <s v="Mountain-200 Silver, 42"/>
    <x v="0"/>
    <x v="1"/>
    <x v="1"/>
    <n v="1"/>
    <n v="1266"/>
    <n v="2320"/>
    <n v="1054"/>
    <n v="1266"/>
    <n v="2320"/>
  </r>
  <r>
    <n v="261734"/>
    <d v="2021-12-12T00:00:00"/>
    <n v="12"/>
    <s v="December"/>
    <n v="2021"/>
    <x v="12"/>
    <x v="0"/>
    <x v="0"/>
    <x v="0"/>
    <x v="3"/>
    <s v="Bikes"/>
    <s v="Mountain Bikes"/>
    <s v="Mountain-200 Silver, 42"/>
    <x v="0"/>
    <x v="1"/>
    <x v="1"/>
    <n v="1"/>
    <n v="1266"/>
    <n v="2320"/>
    <n v="1054"/>
    <n v="1266"/>
    <n v="2320"/>
  </r>
  <r>
    <n v="261735"/>
    <d v="2021-12-13T00:00:00"/>
    <n v="13"/>
    <s v="December"/>
    <n v="2021"/>
    <x v="19"/>
    <x v="1"/>
    <x v="0"/>
    <x v="3"/>
    <x v="5"/>
    <s v="Bikes"/>
    <s v="Mountain Bikes"/>
    <s v="Mountain-200 Silver, 42"/>
    <x v="0"/>
    <x v="1"/>
    <x v="1"/>
    <n v="3"/>
    <n v="1266"/>
    <n v="2320"/>
    <n v="3162"/>
    <n v="3798"/>
    <n v="6960"/>
  </r>
  <r>
    <n v="261736"/>
    <d v="2021-12-13T00:00:00"/>
    <n v="13"/>
    <s v="December"/>
    <n v="2021"/>
    <x v="17"/>
    <x v="0"/>
    <x v="0"/>
    <x v="0"/>
    <x v="0"/>
    <s v="Bikes"/>
    <s v="Mountain Bikes"/>
    <s v="Mountain-500 Silver, 40"/>
    <x v="2"/>
    <x v="1"/>
    <x v="3"/>
    <n v="1"/>
    <n v="308"/>
    <n v="565"/>
    <n v="257"/>
    <n v="308"/>
    <n v="565"/>
  </r>
  <r>
    <n v="261737"/>
    <d v="2021-12-13T00:00:00"/>
    <n v="13"/>
    <s v="December"/>
    <n v="2021"/>
    <x v="1"/>
    <x v="0"/>
    <x v="0"/>
    <x v="1"/>
    <x v="1"/>
    <s v="Bikes"/>
    <s v="Mountain Bikes"/>
    <s v="Mountain-200 Black, 38"/>
    <x v="0"/>
    <x v="0"/>
    <x v="2"/>
    <n v="1"/>
    <n v="1252"/>
    <n v="2295"/>
    <n v="1043"/>
    <n v="1252"/>
    <n v="2295"/>
  </r>
  <r>
    <n v="261738"/>
    <d v="2021-12-13T00:00:00"/>
    <n v="13"/>
    <s v="December"/>
    <n v="2021"/>
    <x v="20"/>
    <x v="0"/>
    <x v="1"/>
    <x v="1"/>
    <x v="1"/>
    <s v="Bikes"/>
    <s v="Mountain Bikes"/>
    <s v="Mountain-200 Black, 38"/>
    <x v="0"/>
    <x v="0"/>
    <x v="2"/>
    <n v="1"/>
    <n v="1252"/>
    <n v="2295"/>
    <n v="1043"/>
    <n v="1252"/>
    <n v="2295"/>
  </r>
  <r>
    <n v="261739"/>
    <d v="2021-12-14T00:00:00"/>
    <n v="14"/>
    <s v="December"/>
    <n v="2021"/>
    <x v="11"/>
    <x v="1"/>
    <x v="0"/>
    <x v="0"/>
    <x v="3"/>
    <s v="Bikes"/>
    <s v="Mountain Bikes"/>
    <s v="Mountain-200 Silver, 38"/>
    <x v="0"/>
    <x v="1"/>
    <x v="2"/>
    <n v="2"/>
    <n v="1266"/>
    <n v="2320"/>
    <n v="2108"/>
    <n v="2532"/>
    <n v="4640"/>
  </r>
  <r>
    <n v="261740"/>
    <d v="2021-12-14T00:00:00"/>
    <n v="14"/>
    <s v="December"/>
    <n v="2021"/>
    <x v="19"/>
    <x v="1"/>
    <x v="1"/>
    <x v="0"/>
    <x v="0"/>
    <s v="Bikes"/>
    <s v="Mountain Bikes"/>
    <s v="Mountain-200 Black, 46"/>
    <x v="0"/>
    <x v="0"/>
    <x v="0"/>
    <n v="1"/>
    <n v="1252"/>
    <n v="2295"/>
    <n v="1043"/>
    <n v="1252"/>
    <n v="2295"/>
  </r>
  <r>
    <n v="261741"/>
    <d v="2021-12-14T00:00:00"/>
    <n v="14"/>
    <s v="December"/>
    <n v="2021"/>
    <x v="19"/>
    <x v="1"/>
    <x v="0"/>
    <x v="3"/>
    <x v="7"/>
    <s v="Bikes"/>
    <s v="Mountain Bikes"/>
    <s v="Mountain-400-W Silver, 46"/>
    <x v="1"/>
    <x v="1"/>
    <x v="0"/>
    <n v="1"/>
    <n v="420"/>
    <n v="769"/>
    <n v="349"/>
    <n v="420"/>
    <n v="769"/>
  </r>
  <r>
    <n v="261742"/>
    <d v="2021-12-15T00:00:00"/>
    <n v="15"/>
    <s v="December"/>
    <n v="2021"/>
    <x v="21"/>
    <x v="1"/>
    <x v="0"/>
    <x v="0"/>
    <x v="0"/>
    <s v="Bikes"/>
    <s v="Mountain Bikes"/>
    <s v="Mountain-200 Silver, 42"/>
    <x v="0"/>
    <x v="1"/>
    <x v="1"/>
    <n v="1"/>
    <n v="1266"/>
    <n v="2320"/>
    <n v="1054"/>
    <n v="1266"/>
    <n v="2320"/>
  </r>
  <r>
    <n v="261743"/>
    <d v="2021-12-16T00:00:00"/>
    <n v="16"/>
    <s v="December"/>
    <n v="2021"/>
    <x v="14"/>
    <x v="1"/>
    <x v="0"/>
    <x v="3"/>
    <x v="2"/>
    <s v="Bikes"/>
    <s v="Mountain Bikes"/>
    <s v="Mountain-200 Black, 38"/>
    <x v="0"/>
    <x v="0"/>
    <x v="2"/>
    <n v="2"/>
    <n v="1252"/>
    <n v="2295"/>
    <n v="2086"/>
    <n v="2504"/>
    <n v="4590"/>
  </r>
  <r>
    <n v="261744"/>
    <d v="2021-12-16T00:00:00"/>
    <n v="16"/>
    <s v="December"/>
    <n v="2021"/>
    <x v="12"/>
    <x v="0"/>
    <x v="1"/>
    <x v="3"/>
    <x v="2"/>
    <s v="Bikes"/>
    <s v="Mountain Bikes"/>
    <s v="Mountain-200 Black, 38"/>
    <x v="0"/>
    <x v="0"/>
    <x v="2"/>
    <n v="2"/>
    <n v="1252"/>
    <n v="2295"/>
    <n v="2086"/>
    <n v="2504"/>
    <n v="4590"/>
  </r>
  <r>
    <n v="261745"/>
    <d v="2021-12-16T00:00:00"/>
    <n v="16"/>
    <s v="December"/>
    <n v="2021"/>
    <x v="8"/>
    <x v="1"/>
    <x v="0"/>
    <x v="8"/>
    <x v="10"/>
    <s v="Bikes"/>
    <s v="Mountain Bikes"/>
    <s v="Mountain-200 Silver, 46"/>
    <x v="0"/>
    <x v="1"/>
    <x v="0"/>
    <n v="1"/>
    <n v="1266"/>
    <n v="2320"/>
    <n v="1054"/>
    <n v="1266"/>
    <n v="2320"/>
  </r>
  <r>
    <n v="261746"/>
    <d v="2021-12-17T00:00:00"/>
    <n v="17"/>
    <s v="December"/>
    <n v="2021"/>
    <x v="2"/>
    <x v="0"/>
    <x v="0"/>
    <x v="0"/>
    <x v="3"/>
    <s v="Bikes"/>
    <s v="Mountain Bikes"/>
    <s v="Mountain-200 Silver, 38"/>
    <x v="0"/>
    <x v="1"/>
    <x v="2"/>
    <n v="2"/>
    <n v="1266"/>
    <n v="2320"/>
    <n v="2108"/>
    <n v="2532"/>
    <n v="4640"/>
  </r>
  <r>
    <n v="261747"/>
    <d v="2021-12-17T00:00:00"/>
    <n v="17"/>
    <s v="December"/>
    <n v="2021"/>
    <x v="3"/>
    <x v="1"/>
    <x v="1"/>
    <x v="3"/>
    <x v="2"/>
    <s v="Bikes"/>
    <s v="Mountain Bikes"/>
    <s v="Mountain-400-W Silver, 42"/>
    <x v="1"/>
    <x v="1"/>
    <x v="1"/>
    <n v="1"/>
    <n v="420"/>
    <n v="769"/>
    <n v="349"/>
    <n v="420"/>
    <n v="769"/>
  </r>
  <r>
    <n v="261748"/>
    <d v="2021-12-17T00:00:00"/>
    <n v="17"/>
    <s v="December"/>
    <n v="2021"/>
    <x v="5"/>
    <x v="0"/>
    <x v="0"/>
    <x v="6"/>
    <x v="4"/>
    <s v="Bikes"/>
    <s v="Mountain Bikes"/>
    <s v="Mountain-200 Silver, 46"/>
    <x v="0"/>
    <x v="1"/>
    <x v="0"/>
    <n v="1"/>
    <n v="1266"/>
    <n v="2320"/>
    <n v="1054"/>
    <n v="1266"/>
    <n v="2320"/>
  </r>
  <r>
    <n v="261749"/>
    <d v="2021-12-18T00:00:00"/>
    <n v="18"/>
    <s v="December"/>
    <n v="2021"/>
    <x v="6"/>
    <x v="0"/>
    <x v="0"/>
    <x v="3"/>
    <x v="2"/>
    <s v="Bikes"/>
    <s v="Mountain Bikes"/>
    <s v="Mountain-500 Silver, 42"/>
    <x v="2"/>
    <x v="1"/>
    <x v="1"/>
    <n v="4"/>
    <n v="308"/>
    <n v="565"/>
    <n v="1028"/>
    <n v="1232"/>
    <n v="2260"/>
  </r>
  <r>
    <n v="261750"/>
    <d v="2021-12-18T00:00:00"/>
    <n v="18"/>
    <s v="December"/>
    <n v="2021"/>
    <x v="12"/>
    <x v="0"/>
    <x v="0"/>
    <x v="6"/>
    <x v="4"/>
    <s v="Bikes"/>
    <s v="Mountain Bikes"/>
    <s v="Mountain-200 Silver, 46"/>
    <x v="0"/>
    <x v="1"/>
    <x v="0"/>
    <n v="4"/>
    <n v="1266"/>
    <n v="2320"/>
    <n v="4216"/>
    <n v="5064"/>
    <n v="9280"/>
  </r>
  <r>
    <n v="261751"/>
    <d v="2021-12-18T00:00:00"/>
    <n v="18"/>
    <s v="December"/>
    <n v="2021"/>
    <x v="4"/>
    <x v="2"/>
    <x v="0"/>
    <x v="8"/>
    <x v="11"/>
    <s v="Bikes"/>
    <s v="Mountain Bikes"/>
    <s v="Mountain-200 Silver, 38"/>
    <x v="0"/>
    <x v="1"/>
    <x v="2"/>
    <n v="3"/>
    <n v="1266"/>
    <n v="2320"/>
    <n v="3162"/>
    <n v="3798"/>
    <n v="6960"/>
  </r>
  <r>
    <n v="261752"/>
    <d v="2021-12-18T00:00:00"/>
    <n v="18"/>
    <s v="December"/>
    <n v="2021"/>
    <x v="18"/>
    <x v="1"/>
    <x v="0"/>
    <x v="1"/>
    <x v="1"/>
    <s v="Bikes"/>
    <s v="Mountain Bikes"/>
    <s v="Mountain-400-W Silver, 42"/>
    <x v="1"/>
    <x v="1"/>
    <x v="1"/>
    <n v="3"/>
    <n v="420"/>
    <n v="769"/>
    <n v="1047"/>
    <n v="1260"/>
    <n v="2307"/>
  </r>
  <r>
    <n v="261753"/>
    <d v="2021-12-18T00:00:00"/>
    <n v="18"/>
    <s v="December"/>
    <n v="2021"/>
    <x v="0"/>
    <x v="0"/>
    <x v="1"/>
    <x v="0"/>
    <x v="0"/>
    <s v="Bikes"/>
    <s v="Mountain Bikes"/>
    <s v="Mountain-200 Black, 42"/>
    <x v="0"/>
    <x v="0"/>
    <x v="1"/>
    <n v="3"/>
    <n v="1252"/>
    <n v="2295"/>
    <n v="3129"/>
    <n v="3756"/>
    <n v="6885"/>
  </r>
  <r>
    <n v="261754"/>
    <d v="2021-12-18T00:00:00"/>
    <n v="18"/>
    <s v="December"/>
    <n v="2021"/>
    <x v="18"/>
    <x v="1"/>
    <x v="1"/>
    <x v="8"/>
    <x v="9"/>
    <s v="Bikes"/>
    <s v="Mountain Bikes"/>
    <s v="Mountain-200 Black, 46"/>
    <x v="0"/>
    <x v="0"/>
    <x v="0"/>
    <n v="1"/>
    <n v="1252"/>
    <n v="2295"/>
    <n v="1043"/>
    <n v="1252"/>
    <n v="2295"/>
  </r>
  <r>
    <n v="261755"/>
    <d v="2021-12-18T00:00:00"/>
    <n v="18"/>
    <s v="December"/>
    <n v="2021"/>
    <x v="9"/>
    <x v="0"/>
    <x v="1"/>
    <x v="0"/>
    <x v="3"/>
    <s v="Bikes"/>
    <s v="Mountain Bikes"/>
    <s v="Mountain-200 Silver, 38"/>
    <x v="0"/>
    <x v="1"/>
    <x v="2"/>
    <n v="1"/>
    <n v="1266"/>
    <n v="2320"/>
    <n v="1054"/>
    <n v="1266"/>
    <n v="2320"/>
  </r>
  <r>
    <n v="261756"/>
    <d v="2021-12-19T00:00:00"/>
    <n v="19"/>
    <s v="December"/>
    <n v="2021"/>
    <x v="22"/>
    <x v="2"/>
    <x v="1"/>
    <x v="8"/>
    <x v="12"/>
    <s v="Bikes"/>
    <s v="Mountain Bikes"/>
    <s v="Mountain-200 Silver, 46"/>
    <x v="0"/>
    <x v="1"/>
    <x v="0"/>
    <n v="4"/>
    <n v="1266"/>
    <n v="2320"/>
    <n v="4216"/>
    <n v="5064"/>
    <n v="9280"/>
  </r>
  <r>
    <n v="261757"/>
    <d v="2021-12-19T00:00:00"/>
    <n v="19"/>
    <s v="December"/>
    <n v="2021"/>
    <x v="13"/>
    <x v="2"/>
    <x v="0"/>
    <x v="3"/>
    <x v="7"/>
    <s v="Bikes"/>
    <s v="Mountain Bikes"/>
    <s v="Mountain-500 Black, 44"/>
    <x v="2"/>
    <x v="0"/>
    <x v="4"/>
    <n v="4"/>
    <n v="295"/>
    <n v="540"/>
    <n v="980"/>
    <n v="1180"/>
    <n v="2160"/>
  </r>
  <r>
    <n v="261758"/>
    <d v="2021-12-19T00:00:00"/>
    <n v="19"/>
    <s v="December"/>
    <n v="2021"/>
    <x v="23"/>
    <x v="1"/>
    <x v="1"/>
    <x v="8"/>
    <x v="9"/>
    <s v="Bikes"/>
    <s v="Mountain Bikes"/>
    <s v="Mountain-200 Black, 38"/>
    <x v="0"/>
    <x v="0"/>
    <x v="2"/>
    <n v="4"/>
    <n v="1252"/>
    <n v="2295"/>
    <n v="4172"/>
    <n v="5008"/>
    <n v="9180"/>
  </r>
  <r>
    <n v="261759"/>
    <d v="2021-12-19T00:00:00"/>
    <n v="19"/>
    <s v="December"/>
    <n v="2021"/>
    <x v="6"/>
    <x v="0"/>
    <x v="0"/>
    <x v="0"/>
    <x v="13"/>
    <s v="Bikes"/>
    <s v="Mountain Bikes"/>
    <s v="Mountain-100 Black, 48"/>
    <x v="3"/>
    <x v="0"/>
    <x v="5"/>
    <n v="4"/>
    <n v="1898"/>
    <n v="3375"/>
    <n v="5908"/>
    <n v="7592"/>
    <n v="13500"/>
  </r>
  <r>
    <n v="261760"/>
    <d v="2021-12-19T00:00:00"/>
    <n v="19"/>
    <s v="December"/>
    <n v="2021"/>
    <x v="2"/>
    <x v="0"/>
    <x v="1"/>
    <x v="0"/>
    <x v="13"/>
    <s v="Bikes"/>
    <s v="Mountain Bikes"/>
    <s v="Mountain-200 Black, 38"/>
    <x v="0"/>
    <x v="0"/>
    <x v="2"/>
    <n v="4"/>
    <n v="1252"/>
    <n v="2295"/>
    <n v="4172"/>
    <n v="5008"/>
    <n v="9180"/>
  </r>
  <r>
    <n v="261761"/>
    <d v="2021-12-19T00:00:00"/>
    <n v="19"/>
    <s v="December"/>
    <n v="2021"/>
    <x v="0"/>
    <x v="0"/>
    <x v="0"/>
    <x v="0"/>
    <x v="0"/>
    <s v="Bikes"/>
    <s v="Mountain Bikes"/>
    <s v="Mountain-200 Black, 46"/>
    <x v="0"/>
    <x v="0"/>
    <x v="0"/>
    <n v="4"/>
    <n v="1252"/>
    <n v="2295"/>
    <n v="4172"/>
    <n v="5008"/>
    <n v="9180"/>
  </r>
  <r>
    <n v="261762"/>
    <d v="2021-12-19T00:00:00"/>
    <n v="19"/>
    <s v="December"/>
    <n v="2021"/>
    <x v="24"/>
    <x v="0"/>
    <x v="0"/>
    <x v="3"/>
    <x v="5"/>
    <s v="Bikes"/>
    <s v="Mountain Bikes"/>
    <s v="Mountain-200 Black, 46"/>
    <x v="0"/>
    <x v="0"/>
    <x v="0"/>
    <n v="4"/>
    <n v="1252"/>
    <n v="2295"/>
    <n v="4172"/>
    <n v="5008"/>
    <n v="9180"/>
  </r>
  <r>
    <n v="261763"/>
    <d v="2021-12-19T00:00:00"/>
    <n v="19"/>
    <s v="December"/>
    <n v="2021"/>
    <x v="25"/>
    <x v="2"/>
    <x v="1"/>
    <x v="3"/>
    <x v="14"/>
    <s v="Bikes"/>
    <s v="Mountain Bikes"/>
    <s v="Mountain-500 Black, 40"/>
    <x v="2"/>
    <x v="0"/>
    <x v="3"/>
    <n v="2"/>
    <n v="295"/>
    <n v="540"/>
    <n v="490"/>
    <n v="590"/>
    <n v="1080"/>
  </r>
  <r>
    <n v="261764"/>
    <d v="2021-12-19T00:00:00"/>
    <n v="19"/>
    <s v="December"/>
    <n v="2021"/>
    <x v="26"/>
    <x v="0"/>
    <x v="0"/>
    <x v="6"/>
    <x v="15"/>
    <s v="Bikes"/>
    <s v="Mountain Bikes"/>
    <s v="Mountain-200 Black, 46"/>
    <x v="0"/>
    <x v="0"/>
    <x v="0"/>
    <n v="2"/>
    <n v="1252"/>
    <n v="2295"/>
    <n v="2086"/>
    <n v="2504"/>
    <n v="4590"/>
  </r>
  <r>
    <n v="261765"/>
    <d v="2021-12-19T00:00:00"/>
    <n v="19"/>
    <s v="December"/>
    <n v="2021"/>
    <x v="0"/>
    <x v="0"/>
    <x v="0"/>
    <x v="0"/>
    <x v="3"/>
    <s v="Bikes"/>
    <s v="Mountain Bikes"/>
    <s v="Mountain-200 Silver, 38"/>
    <x v="0"/>
    <x v="1"/>
    <x v="2"/>
    <n v="1"/>
    <n v="1266"/>
    <n v="2320"/>
    <n v="1054"/>
    <n v="1266"/>
    <n v="2320"/>
  </r>
  <r>
    <n v="261766"/>
    <d v="2021-12-20T00:00:00"/>
    <n v="20"/>
    <s v="December"/>
    <n v="2021"/>
    <x v="14"/>
    <x v="1"/>
    <x v="0"/>
    <x v="3"/>
    <x v="7"/>
    <s v="Bikes"/>
    <s v="Mountain Bikes"/>
    <s v="Mountain-100 Black, 38"/>
    <x v="3"/>
    <x v="0"/>
    <x v="2"/>
    <n v="4"/>
    <n v="1898"/>
    <n v="3375"/>
    <n v="5908"/>
    <n v="7592"/>
    <n v="13500"/>
  </r>
  <r>
    <n v="261767"/>
    <d v="2021-12-20T00:00:00"/>
    <n v="20"/>
    <s v="December"/>
    <n v="2021"/>
    <x v="27"/>
    <x v="0"/>
    <x v="1"/>
    <x v="3"/>
    <x v="5"/>
    <s v="Bikes"/>
    <s v="Mountain Bikes"/>
    <s v="Mountain-200 Black, 46"/>
    <x v="0"/>
    <x v="0"/>
    <x v="0"/>
    <n v="4"/>
    <n v="1252"/>
    <n v="2295"/>
    <n v="4172"/>
    <n v="5008"/>
    <n v="9180"/>
  </r>
  <r>
    <n v="261768"/>
    <d v="2021-12-20T00:00:00"/>
    <n v="20"/>
    <s v="December"/>
    <n v="2021"/>
    <x v="21"/>
    <x v="1"/>
    <x v="1"/>
    <x v="7"/>
    <x v="6"/>
    <s v="Bikes"/>
    <s v="Mountain Bikes"/>
    <s v="Mountain-500 Black, 52"/>
    <x v="2"/>
    <x v="0"/>
    <x v="6"/>
    <n v="3"/>
    <n v="295"/>
    <n v="540"/>
    <n v="735"/>
    <n v="885"/>
    <n v="1620"/>
  </r>
  <r>
    <n v="261769"/>
    <d v="2021-12-20T00:00:00"/>
    <n v="20"/>
    <s v="December"/>
    <n v="2021"/>
    <x v="6"/>
    <x v="0"/>
    <x v="0"/>
    <x v="3"/>
    <x v="5"/>
    <s v="Bikes"/>
    <s v="Mountain Bikes"/>
    <s v="Mountain-200 Silver, 38"/>
    <x v="0"/>
    <x v="1"/>
    <x v="2"/>
    <n v="1"/>
    <n v="1266"/>
    <n v="2320"/>
    <n v="1054"/>
    <n v="1266"/>
    <n v="2320"/>
  </r>
  <r>
    <n v="261770"/>
    <d v="2021-12-20T00:00:00"/>
    <n v="20"/>
    <s v="December"/>
    <n v="2021"/>
    <x v="6"/>
    <x v="0"/>
    <x v="1"/>
    <x v="3"/>
    <x v="7"/>
    <s v="Bikes"/>
    <s v="Mountain Bikes"/>
    <s v="Mountain-200 Silver, 38"/>
    <x v="0"/>
    <x v="1"/>
    <x v="2"/>
    <n v="1"/>
    <n v="1266"/>
    <n v="2320"/>
    <n v="1054"/>
    <n v="1266"/>
    <n v="2320"/>
  </r>
  <r>
    <n v="261771"/>
    <d v="2021-12-21T00:00:00"/>
    <n v="21"/>
    <s v="December"/>
    <n v="2021"/>
    <x v="18"/>
    <x v="1"/>
    <x v="1"/>
    <x v="8"/>
    <x v="16"/>
    <s v="Bikes"/>
    <s v="Mountain Bikes"/>
    <s v="Mountain-200 Silver, 38"/>
    <x v="0"/>
    <x v="1"/>
    <x v="2"/>
    <n v="3"/>
    <n v="1266"/>
    <n v="2320"/>
    <n v="3162"/>
    <n v="3798"/>
    <n v="6960"/>
  </r>
  <r>
    <n v="261772"/>
    <d v="2021-12-21T00:00:00"/>
    <n v="21"/>
    <s v="December"/>
    <n v="2021"/>
    <x v="7"/>
    <x v="2"/>
    <x v="1"/>
    <x v="1"/>
    <x v="1"/>
    <s v="Bikes"/>
    <s v="Mountain Bikes"/>
    <s v="Mountain-400-W Silver, 46"/>
    <x v="1"/>
    <x v="1"/>
    <x v="0"/>
    <n v="2"/>
    <n v="420"/>
    <n v="769"/>
    <n v="698"/>
    <n v="840"/>
    <n v="1538"/>
  </r>
  <r>
    <n v="261773"/>
    <d v="2021-12-22T00:00:00"/>
    <n v="22"/>
    <s v="December"/>
    <n v="2021"/>
    <x v="11"/>
    <x v="1"/>
    <x v="0"/>
    <x v="0"/>
    <x v="3"/>
    <s v="Bikes"/>
    <s v="Mountain Bikes"/>
    <s v="Mountain-200 Silver, 38"/>
    <x v="0"/>
    <x v="1"/>
    <x v="2"/>
    <n v="3"/>
    <n v="1266"/>
    <n v="2320"/>
    <n v="3162"/>
    <n v="3798"/>
    <n v="6960"/>
  </r>
  <r>
    <n v="261774"/>
    <d v="2021-12-22T00:00:00"/>
    <n v="22"/>
    <s v="December"/>
    <n v="2021"/>
    <x v="15"/>
    <x v="0"/>
    <x v="1"/>
    <x v="0"/>
    <x v="0"/>
    <s v="Bikes"/>
    <s v="Mountain Bikes"/>
    <s v="Mountain-200 Black, 42"/>
    <x v="0"/>
    <x v="0"/>
    <x v="1"/>
    <n v="3"/>
    <n v="1252"/>
    <n v="2295"/>
    <n v="3129"/>
    <n v="3756"/>
    <n v="6885"/>
  </r>
  <r>
    <n v="261775"/>
    <d v="2021-12-22T00:00:00"/>
    <n v="22"/>
    <s v="December"/>
    <n v="2021"/>
    <x v="13"/>
    <x v="2"/>
    <x v="0"/>
    <x v="3"/>
    <x v="2"/>
    <s v="Bikes"/>
    <s v="Mountain Bikes"/>
    <s v="Mountain-500 Silver, 42"/>
    <x v="2"/>
    <x v="1"/>
    <x v="1"/>
    <n v="1"/>
    <n v="308"/>
    <n v="565"/>
    <n v="257"/>
    <n v="308"/>
    <n v="565"/>
  </r>
  <r>
    <n v="261776"/>
    <d v="2021-12-22T00:00:00"/>
    <n v="22"/>
    <s v="December"/>
    <n v="2021"/>
    <x v="23"/>
    <x v="1"/>
    <x v="1"/>
    <x v="8"/>
    <x v="9"/>
    <s v="Bikes"/>
    <s v="Mountain Bikes"/>
    <s v="Mountain-200 Black, 38"/>
    <x v="0"/>
    <x v="0"/>
    <x v="2"/>
    <n v="1"/>
    <n v="1252"/>
    <n v="2295"/>
    <n v="1043"/>
    <n v="1252"/>
    <n v="2295"/>
  </r>
  <r>
    <n v="261777"/>
    <d v="2021-12-22T00:00:00"/>
    <n v="22"/>
    <s v="December"/>
    <n v="2021"/>
    <x v="8"/>
    <x v="1"/>
    <x v="0"/>
    <x v="7"/>
    <x v="6"/>
    <s v="Bikes"/>
    <s v="Mountain Bikes"/>
    <s v="Mountain-200 Black, 46"/>
    <x v="0"/>
    <x v="0"/>
    <x v="0"/>
    <n v="1"/>
    <n v="1252"/>
    <n v="2295"/>
    <n v="1043"/>
    <n v="1252"/>
    <n v="2295"/>
  </r>
  <r>
    <n v="261778"/>
    <d v="2021-12-22T00:00:00"/>
    <n v="22"/>
    <s v="December"/>
    <n v="2021"/>
    <x v="15"/>
    <x v="0"/>
    <x v="1"/>
    <x v="6"/>
    <x v="15"/>
    <s v="Bikes"/>
    <s v="Mountain Bikes"/>
    <s v="Mountain-200 Silver, 38"/>
    <x v="0"/>
    <x v="1"/>
    <x v="2"/>
    <n v="1"/>
    <n v="1266"/>
    <n v="2320"/>
    <n v="1054"/>
    <n v="1266"/>
    <n v="2320"/>
  </r>
  <r>
    <n v="261779"/>
    <d v="2021-12-23T00:00:00"/>
    <n v="23"/>
    <s v="December"/>
    <n v="2021"/>
    <x v="11"/>
    <x v="1"/>
    <x v="0"/>
    <x v="0"/>
    <x v="13"/>
    <s v="Bikes"/>
    <s v="Mountain Bikes"/>
    <s v="Mountain-200 Silver, 42"/>
    <x v="0"/>
    <x v="1"/>
    <x v="1"/>
    <n v="1"/>
    <n v="1266"/>
    <n v="2320"/>
    <n v="1054"/>
    <n v="1266"/>
    <n v="2320"/>
  </r>
  <r>
    <n v="261780"/>
    <d v="2021-12-23T00:00:00"/>
    <n v="23"/>
    <s v="December"/>
    <n v="2021"/>
    <x v="3"/>
    <x v="1"/>
    <x v="0"/>
    <x v="7"/>
    <x v="6"/>
    <s v="Bikes"/>
    <s v="Mountain Bikes"/>
    <s v="Mountain-200 Black, 42"/>
    <x v="0"/>
    <x v="0"/>
    <x v="1"/>
    <n v="1"/>
    <n v="1252"/>
    <n v="2295"/>
    <n v="1043"/>
    <n v="1252"/>
    <n v="2295"/>
  </r>
  <r>
    <n v="261781"/>
    <d v="2021-12-23T00:00:00"/>
    <n v="23"/>
    <s v="December"/>
    <n v="2021"/>
    <x v="6"/>
    <x v="0"/>
    <x v="0"/>
    <x v="0"/>
    <x v="0"/>
    <s v="Bikes"/>
    <s v="Mountain Bikes"/>
    <s v="Mountain-500 Black, 42"/>
    <x v="2"/>
    <x v="0"/>
    <x v="1"/>
    <n v="1"/>
    <n v="295"/>
    <n v="540"/>
    <n v="245"/>
    <n v="295"/>
    <n v="540"/>
  </r>
  <r>
    <n v="261782"/>
    <d v="2021-12-24T00:00:00"/>
    <n v="24"/>
    <s v="December"/>
    <n v="2021"/>
    <x v="12"/>
    <x v="0"/>
    <x v="1"/>
    <x v="3"/>
    <x v="5"/>
    <s v="Bikes"/>
    <s v="Mountain Bikes"/>
    <s v="Mountain-200 Black, 42"/>
    <x v="0"/>
    <x v="0"/>
    <x v="1"/>
    <n v="4"/>
    <n v="1252"/>
    <n v="2295"/>
    <n v="4172"/>
    <n v="5008"/>
    <n v="918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3C6D2F2-C0B2-4BF7-ABD4-FE7AE39ED8F0}" name="PivotTable1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rowHeaderCaption="Age segment">
  <location ref="AB4:AC8" firstHeaderRow="1" firstDataRow="1" firstDataCol="1"/>
  <pivotFields count="22">
    <pivotField showAll="0"/>
    <pivotField numFmtId="14" showAll="0"/>
    <pivotField showAll="0"/>
    <pivotField showAll="0"/>
    <pivotField showAll="0"/>
    <pivotField showAll="0"/>
    <pivotField axis="axisRow" showAll="0" sortType="descending">
      <items count="4">
        <item x="0"/>
        <item x="1"/>
        <item x="2"/>
        <item t="default"/>
      </items>
      <autoSortScope>
        <pivotArea dataOnly="0" outline="0" fieldPosition="0">
          <references count="1">
            <reference field="4294967294" count="1" selected="0">
              <x v="0"/>
            </reference>
          </references>
        </pivotArea>
      </autoSortScope>
    </pivotField>
    <pivotField showAll="0">
      <items count="3">
        <item x="0"/>
        <item x="1"/>
        <item t="default"/>
      </items>
    </pivotField>
    <pivotField showAll="0">
      <items count="10">
        <item x="2"/>
        <item x="3"/>
        <item h="1" x="7"/>
        <item x="8"/>
        <item x="6"/>
        <item x="4"/>
        <item x="1"/>
        <item x="0"/>
        <item x="5"/>
        <item t="default"/>
      </items>
    </pivotField>
    <pivotField showAll="0"/>
    <pivotField showAll="0"/>
    <pivotField showAll="0"/>
    <pivotField showAll="0"/>
    <pivotField showAll="0">
      <items count="5">
        <item x="3"/>
        <item x="0"/>
        <item x="1"/>
        <item x="2"/>
        <item t="default"/>
      </items>
    </pivotField>
    <pivotField showAll="0">
      <items count="3">
        <item x="0"/>
        <item x="1"/>
        <item t="default"/>
      </items>
    </pivotField>
    <pivotField showAll="0"/>
    <pivotField showAll="0"/>
    <pivotField showAll="0"/>
    <pivotField showAll="0"/>
    <pivotField showAll="0"/>
    <pivotField showAll="0"/>
    <pivotField dataField="1" showAll="0"/>
  </pivotFields>
  <rowFields count="1">
    <field x="6"/>
  </rowFields>
  <rowItems count="4">
    <i>
      <x/>
    </i>
    <i>
      <x v="1"/>
    </i>
    <i>
      <x v="2"/>
    </i>
    <i t="grand">
      <x/>
    </i>
  </rowItems>
  <colItems count="1">
    <i/>
  </colItems>
  <dataFields count="1">
    <dataField name="Sum of Revenue" fld="21"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C139CC6-1757-47FC-9B28-7CA8625B0B10}" name="PivotTable1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rowHeaderCaption="Size">
  <location ref="X4:Y11" firstHeaderRow="1" firstDataRow="1" firstDataCol="1"/>
  <pivotFields count="22">
    <pivotField showAll="0"/>
    <pivotField numFmtId="14" showAll="0"/>
    <pivotField showAll="0"/>
    <pivotField showAll="0"/>
    <pivotField showAll="0"/>
    <pivotField showAll="0"/>
    <pivotField showAll="0"/>
    <pivotField showAll="0">
      <items count="3">
        <item x="0"/>
        <item x="1"/>
        <item t="default"/>
      </items>
    </pivotField>
    <pivotField showAll="0">
      <items count="10">
        <item x="2"/>
        <item x="3"/>
        <item h="1" x="7"/>
        <item x="8"/>
        <item x="6"/>
        <item x="4"/>
        <item x="1"/>
        <item x="0"/>
        <item x="5"/>
        <item t="default"/>
      </items>
    </pivotField>
    <pivotField showAll="0"/>
    <pivotField showAll="0"/>
    <pivotField showAll="0"/>
    <pivotField showAll="0"/>
    <pivotField showAll="0">
      <items count="5">
        <item x="3"/>
        <item x="0"/>
        <item x="1"/>
        <item x="2"/>
        <item t="default"/>
      </items>
    </pivotField>
    <pivotField showAll="0">
      <items count="3">
        <item x="0"/>
        <item x="1"/>
        <item t="default"/>
      </items>
    </pivotField>
    <pivotField axis="axisRow" showAll="0" sortType="descending">
      <items count="8">
        <item x="2"/>
        <item x="3"/>
        <item x="1"/>
        <item x="4"/>
        <item x="0"/>
        <item x="5"/>
        <item x="6"/>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dataField="1" showAll="0"/>
  </pivotFields>
  <rowFields count="1">
    <field x="15"/>
  </rowFields>
  <rowItems count="7">
    <i>
      <x/>
    </i>
    <i>
      <x v="4"/>
    </i>
    <i>
      <x v="2"/>
    </i>
    <i>
      <x v="5"/>
    </i>
    <i>
      <x v="3"/>
    </i>
    <i>
      <x v="1"/>
    </i>
    <i t="grand">
      <x/>
    </i>
  </rowItems>
  <colItems count="1">
    <i/>
  </colItems>
  <dataFields count="1">
    <dataField name="Sum of Revenue" fld="21"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A88FBD0-869D-4BBF-BEC2-D3325C1BC70A}" name="PivotTable1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2" rowHeaderCaption="Gender">
  <location ref="D4:E7" firstHeaderRow="1" firstDataRow="1" firstDataCol="1"/>
  <pivotFields count="22">
    <pivotField showAll="0"/>
    <pivotField numFmtId="14" showAll="0"/>
    <pivotField showAll="0"/>
    <pivotField showAll="0"/>
    <pivotField showAll="0"/>
    <pivotField showAll="0"/>
    <pivotField showAll="0"/>
    <pivotField axis="axisRow" showAll="0">
      <items count="3">
        <item x="0"/>
        <item x="1"/>
        <item t="default"/>
      </items>
    </pivotField>
    <pivotField showAll="0">
      <items count="10">
        <item x="2"/>
        <item x="3"/>
        <item h="1" x="7"/>
        <item x="8"/>
        <item x="6"/>
        <item x="4"/>
        <item x="1"/>
        <item x="0"/>
        <item x="5"/>
        <item t="default"/>
      </items>
    </pivotField>
    <pivotField showAll="0"/>
    <pivotField showAll="0"/>
    <pivotField showAll="0"/>
    <pivotField showAll="0"/>
    <pivotField showAll="0">
      <items count="5">
        <item x="3"/>
        <item x="0"/>
        <item x="1"/>
        <item x="2"/>
        <item t="default"/>
      </items>
    </pivotField>
    <pivotField showAll="0"/>
    <pivotField showAll="0"/>
    <pivotField showAll="0"/>
    <pivotField showAll="0"/>
    <pivotField showAll="0"/>
    <pivotField showAll="0"/>
    <pivotField showAll="0"/>
    <pivotField dataField="1" showAll="0"/>
  </pivotFields>
  <rowFields count="1">
    <field x="7"/>
  </rowFields>
  <rowItems count="3">
    <i>
      <x/>
    </i>
    <i>
      <x v="1"/>
    </i>
    <i t="grand">
      <x/>
    </i>
  </rowItems>
  <colItems count="1">
    <i/>
  </colItems>
  <dataFields count="1">
    <dataField name="Sum of Revenue" fld="21" baseField="0" baseItem="0"/>
  </dataFields>
  <chartFormats count="6">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7" count="1" selected="0">
            <x v="0"/>
          </reference>
        </references>
      </pivotArea>
    </chartFormat>
    <chartFormat chart="0" format="2">
      <pivotArea type="data" outline="0" fieldPosition="0">
        <references count="2">
          <reference field="4294967294" count="1" selected="0">
            <x v="0"/>
          </reference>
          <reference field="7" count="1" selected="0">
            <x v="1"/>
          </reference>
        </references>
      </pivotArea>
    </chartFormat>
    <chartFormat chart="21" format="6" series="1">
      <pivotArea type="data" outline="0" fieldPosition="0">
        <references count="1">
          <reference field="4294967294" count="1" selected="0">
            <x v="0"/>
          </reference>
        </references>
      </pivotArea>
    </chartFormat>
    <chartFormat chart="21" format="7">
      <pivotArea type="data" outline="0" fieldPosition="0">
        <references count="2">
          <reference field="4294967294" count="1" selected="0">
            <x v="0"/>
          </reference>
          <reference field="7" count="1" selected="0">
            <x v="0"/>
          </reference>
        </references>
      </pivotArea>
    </chartFormat>
    <chartFormat chart="21" format="8">
      <pivotArea type="data" outline="0" fieldPosition="0">
        <references count="2">
          <reference field="4294967294" count="1" selected="0">
            <x v="0"/>
          </reference>
          <reference field="7"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2C37DEF-66B4-42B8-B2B6-4C67AE2CB581}" name="PivotTable1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rowHeaderCaption="Type">
  <location ref="P4:Q9" firstHeaderRow="1" firstDataRow="1" firstDataCol="1"/>
  <pivotFields count="22">
    <pivotField showAll="0"/>
    <pivotField numFmtId="14" showAll="0"/>
    <pivotField showAll="0"/>
    <pivotField showAll="0"/>
    <pivotField showAll="0"/>
    <pivotField showAll="0"/>
    <pivotField showAll="0"/>
    <pivotField showAll="0">
      <items count="3">
        <item x="0"/>
        <item x="1"/>
        <item t="default"/>
      </items>
    </pivotField>
    <pivotField showAll="0">
      <items count="10">
        <item x="2"/>
        <item x="3"/>
        <item h="1" x="7"/>
        <item x="8"/>
        <item x="6"/>
        <item x="4"/>
        <item x="1"/>
        <item x="0"/>
        <item x="5"/>
        <item t="default"/>
      </items>
    </pivotField>
    <pivotField showAll="0"/>
    <pivotField showAll="0"/>
    <pivotField showAll="0"/>
    <pivotField showAll="0"/>
    <pivotField axis="axisRow" showAll="0" sortType="descending">
      <items count="5">
        <item x="3"/>
        <item x="0"/>
        <item x="1"/>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dataField="1" showAll="0"/>
  </pivotFields>
  <rowFields count="1">
    <field x="13"/>
  </rowFields>
  <rowItems count="5">
    <i>
      <x v="1"/>
    </i>
    <i>
      <x/>
    </i>
    <i>
      <x v="2"/>
    </i>
    <i>
      <x v="3"/>
    </i>
    <i t="grand">
      <x/>
    </i>
  </rowItems>
  <colItems count="1">
    <i/>
  </colItems>
  <dataFields count="1">
    <dataField name="Sum of Revenue" fld="21"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9069662-352F-44B5-8A38-090180D2625E}" name="PivotTable1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rowHeaderCaption="State">
  <location ref="L4:M10" firstHeaderRow="1" firstDataRow="1" firstDataCol="1"/>
  <pivotFields count="22">
    <pivotField showAll="0"/>
    <pivotField numFmtId="14" showAll="0"/>
    <pivotField showAll="0"/>
    <pivotField showAll="0"/>
    <pivotField showAll="0"/>
    <pivotField showAll="0"/>
    <pivotField showAll="0"/>
    <pivotField showAll="0">
      <items count="3">
        <item x="0"/>
        <item x="1"/>
        <item t="default"/>
      </items>
    </pivotField>
    <pivotField showAll="0">
      <items count="10">
        <item x="2"/>
        <item x="3"/>
        <item h="1" x="7"/>
        <item x="8"/>
        <item x="6"/>
        <item x="4"/>
        <item x="1"/>
        <item x="0"/>
        <item x="5"/>
        <item t="default"/>
      </items>
    </pivotField>
    <pivotField axis="axisRow" showAll="0" measureFilter="1" sortType="descending">
      <items count="18">
        <item x="6"/>
        <item x="0"/>
        <item x="1"/>
        <item x="8"/>
        <item x="15"/>
        <item x="2"/>
        <item x="12"/>
        <item x="4"/>
        <item x="13"/>
        <item x="5"/>
        <item x="9"/>
        <item x="10"/>
        <item x="11"/>
        <item x="16"/>
        <item x="14"/>
        <item x="7"/>
        <item x="3"/>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items count="5">
        <item x="3"/>
        <item x="0"/>
        <item x="1"/>
        <item x="2"/>
        <item t="default"/>
      </items>
    </pivotField>
    <pivotField showAll="0"/>
    <pivotField showAll="0"/>
    <pivotField showAll="0"/>
    <pivotField showAll="0"/>
    <pivotField showAll="0"/>
    <pivotField showAll="0"/>
    <pivotField showAll="0"/>
    <pivotField dataField="1" showAll="0"/>
  </pivotFields>
  <rowFields count="1">
    <field x="9"/>
  </rowFields>
  <rowItems count="6">
    <i>
      <x v="1"/>
    </i>
    <i>
      <x v="5"/>
    </i>
    <i>
      <x v="9"/>
    </i>
    <i>
      <x v="16"/>
    </i>
    <i>
      <x v="15"/>
    </i>
    <i t="grand">
      <x/>
    </i>
  </rowItems>
  <colItems count="1">
    <i/>
  </colItems>
  <dataFields count="1">
    <dataField name="Sum of Revenue" fld="21"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9"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F43F9F0-B6F7-4898-AB04-0ED9C241E3D3}" name="PivotTable1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rowHeaderCaption="Color">
  <location ref="T4:U7" firstHeaderRow="1" firstDataRow="1" firstDataCol="1"/>
  <pivotFields count="22">
    <pivotField showAll="0"/>
    <pivotField numFmtId="14" showAll="0"/>
    <pivotField showAll="0"/>
    <pivotField showAll="0"/>
    <pivotField showAll="0"/>
    <pivotField showAll="0"/>
    <pivotField showAll="0"/>
    <pivotField showAll="0">
      <items count="3">
        <item x="0"/>
        <item x="1"/>
        <item t="default"/>
      </items>
    </pivotField>
    <pivotField showAll="0">
      <items count="10">
        <item x="2"/>
        <item x="3"/>
        <item h="1" x="7"/>
        <item x="8"/>
        <item x="6"/>
        <item x="4"/>
        <item x="1"/>
        <item x="0"/>
        <item x="5"/>
        <item t="default"/>
      </items>
    </pivotField>
    <pivotField showAll="0"/>
    <pivotField showAll="0"/>
    <pivotField showAll="0"/>
    <pivotField showAll="0"/>
    <pivotField showAll="0">
      <items count="5">
        <item x="3"/>
        <item x="0"/>
        <item x="1"/>
        <item x="2"/>
        <item t="default"/>
      </items>
    </pivotField>
    <pivotField axis="axisRow" showAll="0" sortType="descending">
      <items count="3">
        <item x="0"/>
        <item x="1"/>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dataField="1" showAll="0"/>
  </pivotFields>
  <rowFields count="1">
    <field x="14"/>
  </rowFields>
  <rowItems count="3">
    <i>
      <x/>
    </i>
    <i>
      <x v="1"/>
    </i>
    <i t="grand">
      <x/>
    </i>
  </rowItems>
  <colItems count="1">
    <i/>
  </colItems>
  <dataFields count="1">
    <dataField name="Sum of Revenue" fld="21" baseField="0" baseItem="0"/>
  </dataFields>
  <chartFormats count="6">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4" count="1" selected="0">
            <x v="0"/>
          </reference>
        </references>
      </pivotArea>
    </chartFormat>
    <chartFormat chart="0" format="2">
      <pivotArea type="data" outline="0" fieldPosition="0">
        <references count="2">
          <reference field="4294967294" count="1" selected="0">
            <x v="0"/>
          </reference>
          <reference field="14" count="1" selected="0">
            <x v="1"/>
          </reference>
        </references>
      </pivotArea>
    </chartFormat>
    <chartFormat chart="2" format="6" series="1">
      <pivotArea type="data" outline="0" fieldPosition="0">
        <references count="1">
          <reference field="4294967294" count="1" selected="0">
            <x v="0"/>
          </reference>
        </references>
      </pivotArea>
    </chartFormat>
    <chartFormat chart="2" format="7">
      <pivotArea type="data" outline="0" fieldPosition="0">
        <references count="2">
          <reference field="4294967294" count="1" selected="0">
            <x v="0"/>
          </reference>
          <reference field="14" count="1" selected="0">
            <x v="0"/>
          </reference>
        </references>
      </pivotArea>
    </chartFormat>
    <chartFormat chart="2" format="8">
      <pivotArea type="data" outline="0" fieldPosition="0">
        <references count="2">
          <reference field="4294967294" count="1" selected="0">
            <x v="0"/>
          </reference>
          <reference field="1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5DE67323-81B7-4ABB-9315-9E38EB73EEE8}" name="PivotTable1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rowHeaderCaption="Country">
  <location ref="H4:I13" firstHeaderRow="1" firstDataRow="1" firstDataCol="1"/>
  <pivotFields count="22">
    <pivotField showAll="0"/>
    <pivotField numFmtId="14" showAll="0"/>
    <pivotField showAll="0"/>
    <pivotField showAll="0"/>
    <pivotField showAll="0"/>
    <pivotField showAll="0"/>
    <pivotField showAll="0"/>
    <pivotField showAll="0">
      <items count="3">
        <item x="0"/>
        <item x="1"/>
        <item t="default"/>
      </items>
    </pivotField>
    <pivotField axis="axisRow" showAll="0" sortType="descending">
      <items count="10">
        <item x="2"/>
        <item x="3"/>
        <item h="1" x="7"/>
        <item x="8"/>
        <item x="6"/>
        <item x="4"/>
        <item x="1"/>
        <item x="0"/>
        <item x="5"/>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items count="5">
        <item x="3"/>
        <item x="0"/>
        <item x="1"/>
        <item x="2"/>
        <item t="default"/>
      </items>
    </pivotField>
    <pivotField showAll="0"/>
    <pivotField showAll="0"/>
    <pivotField showAll="0"/>
    <pivotField showAll="0"/>
    <pivotField showAll="0"/>
    <pivotField showAll="0"/>
    <pivotField showAll="0"/>
    <pivotField dataField="1" showAll="0"/>
  </pivotFields>
  <rowFields count="1">
    <field x="8"/>
  </rowFields>
  <rowItems count="9">
    <i>
      <x v="7"/>
    </i>
    <i>
      <x v="1"/>
    </i>
    <i>
      <x v="3"/>
    </i>
    <i>
      <x v="4"/>
    </i>
    <i>
      <x v="6"/>
    </i>
    <i>
      <x v="5"/>
    </i>
    <i>
      <x v="8"/>
    </i>
    <i>
      <x/>
    </i>
    <i t="grand">
      <x/>
    </i>
  </rowItems>
  <colItems count="1">
    <i/>
  </colItems>
  <dataFields count="1">
    <dataField name="Sum of Revenue" fld="21"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A68FCD8D-2A3F-4959-96D9-8BA77899C121}" autoFormatId="16" applyNumberFormats="0" applyBorderFormats="0" applyFontFormats="0" applyPatternFormats="0" applyAlignmentFormats="0" applyWidthHeightFormats="0">
  <queryTableRefresh nextId="26">
    <queryTableFields count="22">
      <queryTableField id="1" name="Sales_Order #" tableColumnId="1"/>
      <queryTableField id="2" name="Date" tableColumnId="2"/>
      <queryTableField id="3" name="Day" tableColumnId="3"/>
      <queryTableField id="4" name="Month" tableColumnId="4"/>
      <queryTableField id="5" name="Year" tableColumnId="5"/>
      <queryTableField id="6" name="Customer_Age" tableColumnId="6"/>
      <queryTableField id="7" name="Age_Group" tableColumnId="7"/>
      <queryTableField id="8" name="Customer_Gender" tableColumnId="8"/>
      <queryTableField id="9" name="Country" tableColumnId="9"/>
      <queryTableField id="10" name="State" tableColumnId="10"/>
      <queryTableField id="11" name="Product_Category" tableColumnId="11"/>
      <queryTableField id="12" name="Sub_Category" tableColumnId="12"/>
      <queryTableField id="13" name="Product_Description" tableColumnId="13"/>
      <queryTableField id="20" name="Type" tableColumnId="20"/>
      <queryTableField id="21" name="Color" tableColumnId="21"/>
      <queryTableField id="22" name="Size" tableColumnId="22"/>
      <queryTableField id="14" name="Order_Quantity" tableColumnId="14"/>
      <queryTableField id="15" name=" Unit_Cost " tableColumnId="15"/>
      <queryTableField id="16" name=" Unit_Price " tableColumnId="16"/>
      <queryTableField id="17" name=" Profit " tableColumnId="17"/>
      <queryTableField id="18" name=" Cost " tableColumnId="18"/>
      <queryTableField id="19" name="Revenue" tableColumnId="19"/>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ype" xr10:uid="{C14C5861-2D1A-4945-A644-6FA7F7BB40F7}" sourceName="Type">
  <pivotTables>
    <pivotTable tabId="4" name="PivotTable16"/>
    <pivotTable tabId="4" name="PivotTable13"/>
    <pivotTable tabId="4" name="PivotTable14"/>
    <pivotTable tabId="4" name="PivotTable15"/>
    <pivotTable tabId="4" name="PivotTable17"/>
    <pivotTable tabId="4" name="PivotTable18"/>
    <pivotTable tabId="4" name="PivotTable19"/>
  </pivotTables>
  <data>
    <tabular pivotCacheId="642704765">
      <items count="4">
        <i x="3" s="1"/>
        <i x="0"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3B812FE5-4504-44F3-9EB2-7EA7D5BD44F4}" sourceName="Country">
  <pivotTables>
    <pivotTable tabId="4" name="PivotTable14"/>
    <pivotTable tabId="4" name="PivotTable13"/>
    <pivotTable tabId="4" name="PivotTable15"/>
    <pivotTable tabId="4" name="PivotTable16"/>
    <pivotTable tabId="4" name="PivotTable17"/>
    <pivotTable tabId="4" name="PivotTable18"/>
    <pivotTable tabId="4" name="PivotTable19"/>
  </pivotTables>
  <data>
    <tabular pivotCacheId="642704765">
      <items count="9">
        <i x="2" s="1"/>
        <i x="3" s="1"/>
        <i x="7"/>
        <i x="8" s="1"/>
        <i x="6" s="1"/>
        <i x="4" s="1"/>
        <i x="1" s="1"/>
        <i x="0" s="1"/>
        <i x="5"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Type" xr10:uid="{AA989671-0DC9-4DD0-8128-645A3E19683C}" cache="Slicer_Type" caption="Type" rowHeight="234950"/>
  <slicer name="Country" xr10:uid="{E6E4EFF8-ED89-4489-83E4-73BBB7CC0F20}" cache="Slicer_Country" caption="Country"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Type 1" xr10:uid="{E256072E-54B9-48B1-9CFE-64C5B5CDCE13}" cache="Slicer_Type" caption="Type" rowHeight="234950"/>
  <slicer name="Country 1" xr10:uid="{9FBFBD57-B1DA-4EE0-8893-FDA60E69D096}" cache="Slicer_Country" caption="Country"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719E962-7095-4300-95CE-5CE9691451F4}" name="Bike_Sales" displayName="Bike_Sales" ref="A1:V88" tableType="queryTable" totalsRowShown="0">
  <autoFilter ref="A1:V88" xr:uid="{8719E962-7095-4300-95CE-5CE9691451F4}"/>
  <tableColumns count="22">
    <tableColumn id="1" xr3:uid="{627AF9A9-F621-4EAA-AE09-2A747ACC2E9B}" uniqueName="1" name="Sales_Order #" queryTableFieldId="1"/>
    <tableColumn id="2" xr3:uid="{D02F9D08-EC1A-43CD-9E4D-D83B66AD5DB7}" uniqueName="2" name="Date" queryTableFieldId="2" dataDxfId="11"/>
    <tableColumn id="3" xr3:uid="{0AA5B351-B26B-4D8B-9CEB-A6872B6CDE9A}" uniqueName="3" name="Day" queryTableFieldId="3"/>
    <tableColumn id="4" xr3:uid="{E695BC33-9647-4ABF-92A5-FF8F58AC7FCA}" uniqueName="4" name="Month" queryTableFieldId="4" dataDxfId="10"/>
    <tableColumn id="5" xr3:uid="{97D5533D-740A-42B6-A35F-1AB12B3D6F19}" uniqueName="5" name="Year" queryTableFieldId="5"/>
    <tableColumn id="6" xr3:uid="{6DAAE18A-219C-4FE3-90F2-CE3674F0B9D8}" uniqueName="6" name="Customer_Age" queryTableFieldId="6"/>
    <tableColumn id="7" xr3:uid="{2404BC4F-BC5E-4AD0-9B5F-202E23164C9C}" uniqueName="7" name="Age_Group" queryTableFieldId="7" dataDxfId="9"/>
    <tableColumn id="8" xr3:uid="{D6BA6E9B-F8E0-4395-8BDC-6A3C53E99CDB}" uniqueName="8" name="Customer_Gender" queryTableFieldId="8" dataDxfId="8"/>
    <tableColumn id="9" xr3:uid="{D5DE0C7F-74DA-4ACC-BAC4-EF5B0F7994C6}" uniqueName="9" name="Country" queryTableFieldId="9" dataDxfId="7"/>
    <tableColumn id="10" xr3:uid="{70411E3B-C20B-4FD7-B467-AA9CA13A2578}" uniqueName="10" name="State" queryTableFieldId="10" dataDxfId="6"/>
    <tableColumn id="11" xr3:uid="{D005AD1E-6B6C-4A71-85F8-1747B3254167}" uniqueName="11" name="Product_Category" queryTableFieldId="11" dataDxfId="5"/>
    <tableColumn id="12" xr3:uid="{C7106695-7DD5-42DF-AB3F-72F7296B89E2}" uniqueName="12" name="Sub_Category" queryTableFieldId="12" dataDxfId="4"/>
    <tableColumn id="13" xr3:uid="{4D703468-0F37-4A8C-870E-5CE754A01170}" uniqueName="13" name="Product_Description" queryTableFieldId="13" dataDxfId="3"/>
    <tableColumn id="20" xr3:uid="{128486C2-4CE2-46A1-8A98-5B8801324D25}" uniqueName="20" name="Type" queryTableFieldId="20" dataDxfId="2"/>
    <tableColumn id="21" xr3:uid="{89857F4F-0A16-4113-877D-96D7599E1FE2}" uniqueName="21" name="Color" queryTableFieldId="21" dataDxfId="1"/>
    <tableColumn id="22" xr3:uid="{7DD02A6C-EA1F-42A5-B6EE-FD65ECE66AA7}" uniqueName="22" name="Size" queryTableFieldId="22" dataDxfId="0"/>
    <tableColumn id="14" xr3:uid="{118FC853-0026-4624-BF44-0A33E9A713F2}" uniqueName="14" name="Order_Quantity" queryTableFieldId="14"/>
    <tableColumn id="15" xr3:uid="{357677B9-5E2B-4E83-B325-EB6D832E23CB}" uniqueName="15" name=" Unit_Cost " queryTableFieldId="15"/>
    <tableColumn id="16" xr3:uid="{050C9C18-DB98-40F9-B434-C1E1E41DEE2B}" uniqueName="16" name=" Unit_Price " queryTableFieldId="16"/>
    <tableColumn id="17" xr3:uid="{5077194E-5B3A-4001-B294-4F43E1DB0185}" uniqueName="17" name=" Profit " queryTableFieldId="17"/>
    <tableColumn id="18" xr3:uid="{0DA9A368-E195-44DC-A90C-A0396B661025}" uniqueName="18" name=" Cost " queryTableFieldId="18"/>
    <tableColumn id="19" xr3:uid="{A456CE15-DE80-4428-A535-20F4A610E81B}" uniqueName="19" name="Revenue" queryTableFieldId="19"/>
  </tableColumns>
  <tableStyleInfo name="TableStyleMedium7" showFirstColumn="0" showLastColumn="0" showRowStripes="1" showColumnStripes="0"/>
</table>
</file>

<file path=xl/theme/_rels/theme1.xml.rels><?xml version="1.0" encoding="UTF-8" standalone="yes"?>
<Relationships xmlns="http://schemas.openxmlformats.org/package/2006/relationships"><Relationship Id="rId1" Type="http://schemas.openxmlformats.org/officeDocument/2006/relationships/image" Target="../media/image1.jpeg"/></Relationships>
</file>

<file path=xl/theme/theme1.xml><?xml version="1.0" encoding="utf-8"?>
<a:theme xmlns:a="http://schemas.openxmlformats.org/drawingml/2006/main" name="Wood Type">
  <a:themeElements>
    <a:clrScheme name="Yellow Orange">
      <a:dk1>
        <a:sysClr val="windowText" lastClr="000000"/>
      </a:dk1>
      <a:lt1>
        <a:sysClr val="window" lastClr="FFFFFF"/>
      </a:lt1>
      <a:dk2>
        <a:srgbClr val="4E3B30"/>
      </a:dk2>
      <a:lt2>
        <a:srgbClr val="FBEEC9"/>
      </a:lt2>
      <a:accent1>
        <a:srgbClr val="F0A22E"/>
      </a:accent1>
      <a:accent2>
        <a:srgbClr val="A5644E"/>
      </a:accent2>
      <a:accent3>
        <a:srgbClr val="B58B80"/>
      </a:accent3>
      <a:accent4>
        <a:srgbClr val="C3986D"/>
      </a:accent4>
      <a:accent5>
        <a:srgbClr val="A19574"/>
      </a:accent5>
      <a:accent6>
        <a:srgbClr val="C17529"/>
      </a:accent6>
      <a:hlink>
        <a:srgbClr val="AD1F1F"/>
      </a:hlink>
      <a:folHlink>
        <a:srgbClr val="FFC42F"/>
      </a:folHlink>
    </a:clrScheme>
    <a:fontScheme name="Wood Type">
      <a:majorFont>
        <a:latin typeface="Rockwell Condensed" panose="02060603050405020104"/>
        <a:ea typeface=""/>
        <a:cs typeface=""/>
        <a:font script="Grek" typeface="Cambria"/>
        <a:font script="Cyrl" typeface="Cambria"/>
        <a:font script="Jpan" typeface="HG明朝B"/>
        <a:font script="Hang" typeface="바탕"/>
        <a:font script="Hans" typeface="方正姚体"/>
        <a:font script="Hant" typeface="微軟正黑體"/>
        <a:font script="Arab" typeface="Times New Roman"/>
        <a:font script="Hebr" typeface="David"/>
        <a:font script="Thai" typeface="JasmineUPC"/>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ajorFont>
      <a:minorFont>
        <a:latin typeface="Rockwell" panose="02060603020205020403"/>
        <a:ea typeface=""/>
        <a:cs typeface=""/>
        <a:font script="Grek" typeface="Cambria"/>
        <a:font script="Cyrl" typeface="Cambria"/>
        <a:font script="Jpan" typeface="HG明朝B"/>
        <a:font script="Hang" typeface="바탕"/>
        <a:font script="Hans" typeface="方正姚体"/>
        <a:font script="Hant" typeface="標楷體"/>
        <a:font script="Arab" typeface="Times New Roman"/>
        <a:font script="Hebr" typeface="David"/>
        <a:font script="Thai" typeface="JasmineUPC"/>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inorFont>
    </a:fontScheme>
    <a:fmtScheme name="Wood Type">
      <a:fillStyleLst>
        <a:solidFill>
          <a:schemeClr val="phClr"/>
        </a:solidFill>
        <a:blipFill rotWithShape="1">
          <a:blip xmlns:r="http://schemas.openxmlformats.org/officeDocument/2006/relationships" r:embed="rId1">
            <a:duotone>
              <a:schemeClr val="phClr">
                <a:tint val="70000"/>
                <a:shade val="63000"/>
              </a:schemeClr>
              <a:schemeClr val="phClr">
                <a:tint val="10000"/>
                <a:satMod val="150000"/>
              </a:schemeClr>
            </a:duotone>
          </a:blip>
          <a:tile tx="0" ty="0" sx="60000" sy="59000" flip="none" algn="tl"/>
        </a:blipFill>
        <a:blipFill rotWithShape="1">
          <a:blip xmlns:r="http://schemas.openxmlformats.org/officeDocument/2006/relationships" r:embed="rId1">
            <a:duotone>
              <a:schemeClr val="phClr">
                <a:shade val="36000"/>
                <a:satMod val="120000"/>
              </a:schemeClr>
              <a:schemeClr val="phClr">
                <a:tint val="40000"/>
              </a:schemeClr>
            </a:duotone>
          </a:blip>
          <a:tile tx="0" ty="0" sx="60000" sy="59000" flip="none" algn="tl"/>
        </a:blipFill>
      </a:fillStyleLst>
      <a:lnStyleLst>
        <a:ln w="6350" cap="flat" cmpd="sng" algn="ctr">
          <a:solidFill>
            <a:schemeClr val="phClr"/>
          </a:solidFill>
          <a:prstDash val="solid"/>
        </a:ln>
        <a:ln w="12700" cap="flat" cmpd="sng" algn="ctr">
          <a:solidFill>
            <a:schemeClr val="phClr"/>
          </a:solidFill>
          <a:prstDash val="solid"/>
        </a:ln>
        <a:ln w="19050" cap="flat" cmpd="sng" algn="ctr">
          <a:solidFill>
            <a:schemeClr val="phClr"/>
          </a:solidFill>
          <a:prstDash val="solid"/>
        </a:ln>
      </a:lnStyleLst>
      <a:effectStyleLst>
        <a:effectStyle>
          <a:effectLst/>
        </a:effectStyle>
        <a:effectStyle>
          <a:effectLst>
            <a:softEdge rad="12700"/>
          </a:effectLst>
        </a:effectStyle>
        <a:effectStyle>
          <a:effectLst>
            <a:outerShdw blurRad="50800" dist="19050" dir="5400000" algn="tl" rotWithShape="0">
              <a:srgbClr val="000000">
                <a:alpha val="60000"/>
              </a:srgbClr>
            </a:outerShdw>
            <a:softEdge rad="12700"/>
          </a:effectLst>
        </a:effectStyle>
      </a:effectStyleLst>
      <a:bgFillStyleLst>
        <a:solidFill>
          <a:schemeClr val="phClr"/>
        </a:solidFill>
        <a:solidFill>
          <a:schemeClr val="phClr">
            <a:shade val="97000"/>
            <a:satMod val="150000"/>
          </a:schemeClr>
        </a:solidFill>
        <a:blipFill rotWithShape="1">
          <a:blip xmlns:r="http://schemas.openxmlformats.org/officeDocument/2006/relationships" r:embed="rId1">
            <a:duotone>
              <a:schemeClr val="phClr">
                <a:tint val="75000"/>
                <a:shade val="58000"/>
                <a:satMod val="120000"/>
              </a:schemeClr>
              <a:schemeClr val="phClr">
                <a:tint val="50000"/>
                <a:shade val="96000"/>
              </a:schemeClr>
            </a:duotone>
          </a:blip>
          <a:tile tx="0" ty="0" sx="100000" sy="100000" flip="none" algn="tl"/>
        </a:blipFill>
      </a:bgFillStyleLst>
    </a:fmtScheme>
  </a:themeElements>
  <a:objectDefaults/>
  <a:extraClrSchemeLst/>
  <a:extLst>
    <a:ext uri="{05A4C25C-085E-4340-85A3-A5531E510DB2}">
      <thm15:themeFamily xmlns:thm15="http://schemas.microsoft.com/office/thememl/2012/main" name="Wood Type" id="{7ACABC62-BF99-48CF-A9DC-4DB89C7B13DC}" vid="{142A1326-48AB-42A9-8428-CB14AA30176D}"/>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microsoft.com/office/2007/relationships/slicer" Target="../slicers/slicer1.xml"/></Relationships>
</file>

<file path=xl/worksheets/_rels/sheet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48A013-00D6-492B-907C-44E68A38E04A}">
  <dimension ref="A1:Z88"/>
  <sheetViews>
    <sheetView topLeftCell="I1" zoomScale="74" workbookViewId="0">
      <selection activeCell="X26" sqref="X26"/>
    </sheetView>
  </sheetViews>
  <sheetFormatPr defaultRowHeight="13.8" x14ac:dyDescent="0.25"/>
  <cols>
    <col min="1" max="1" width="15.296875" customWidth="1"/>
    <col min="2" max="2" width="11.3984375" customWidth="1"/>
    <col min="3" max="3" width="6.69921875" customWidth="1"/>
    <col min="4" max="4" width="9.5" customWidth="1"/>
    <col min="5" max="5" width="7.296875" customWidth="1"/>
    <col min="6" max="6" width="15.8984375" customWidth="1"/>
    <col min="7" max="7" width="19" customWidth="1"/>
    <col min="8" max="8" width="19.296875" customWidth="1"/>
    <col min="9" max="9" width="14.796875" customWidth="1"/>
    <col min="10" max="10" width="18.8984375" customWidth="1"/>
    <col min="11" max="11" width="18.69921875" customWidth="1"/>
    <col min="12" max="12" width="15.09765625" customWidth="1"/>
    <col min="13" max="13" width="24.09765625" customWidth="1"/>
    <col min="14" max="14" width="15.69921875" customWidth="1"/>
    <col min="15" max="15" width="7.8984375" customWidth="1"/>
    <col min="16" max="16" width="6.796875" customWidth="1"/>
    <col min="17" max="17" width="17" customWidth="1"/>
    <col min="18" max="18" width="12.69921875" customWidth="1"/>
    <col min="19" max="19" width="13.09765625" customWidth="1"/>
    <col min="20" max="20" width="9.09765625" customWidth="1"/>
    <col min="21" max="21" width="8.09765625" customWidth="1"/>
    <col min="22" max="22" width="11" customWidth="1"/>
    <col min="25" max="25" width="12.3984375" customWidth="1"/>
  </cols>
  <sheetData>
    <row r="1" spans="1:26" x14ac:dyDescent="0.25">
      <c r="A1" t="s">
        <v>0</v>
      </c>
      <c r="B1" t="s">
        <v>1</v>
      </c>
      <c r="C1" t="s">
        <v>2</v>
      </c>
      <c r="D1" t="s">
        <v>3</v>
      </c>
      <c r="E1" t="s">
        <v>4</v>
      </c>
      <c r="F1" t="s">
        <v>5</v>
      </c>
      <c r="G1" t="s">
        <v>6</v>
      </c>
      <c r="H1" t="s">
        <v>7</v>
      </c>
      <c r="I1" t="s">
        <v>8</v>
      </c>
      <c r="J1" t="s">
        <v>9</v>
      </c>
      <c r="K1" t="s">
        <v>10</v>
      </c>
      <c r="L1" t="s">
        <v>11</v>
      </c>
      <c r="M1" t="s">
        <v>12</v>
      </c>
      <c r="N1" t="s">
        <v>75</v>
      </c>
      <c r="O1" t="s">
        <v>76</v>
      </c>
      <c r="P1" t="s">
        <v>77</v>
      </c>
      <c r="Q1" t="s">
        <v>13</v>
      </c>
      <c r="R1" t="s">
        <v>14</v>
      </c>
      <c r="S1" t="s">
        <v>15</v>
      </c>
      <c r="T1" t="s">
        <v>16</v>
      </c>
      <c r="U1" t="s">
        <v>17</v>
      </c>
      <c r="V1" t="s">
        <v>18</v>
      </c>
    </row>
    <row r="2" spans="1:26" x14ac:dyDescent="0.25">
      <c r="A2">
        <v>261695</v>
      </c>
      <c r="B2" s="1">
        <v>44531</v>
      </c>
      <c r="C2">
        <v>1</v>
      </c>
      <c r="D2" t="s">
        <v>19</v>
      </c>
      <c r="E2">
        <v>2021</v>
      </c>
      <c r="F2">
        <v>39</v>
      </c>
      <c r="G2" t="s">
        <v>20</v>
      </c>
      <c r="H2" t="s">
        <v>21</v>
      </c>
      <c r="I2" t="s">
        <v>22</v>
      </c>
      <c r="J2" t="s">
        <v>23</v>
      </c>
      <c r="K2" t="s">
        <v>24</v>
      </c>
      <c r="L2" t="s">
        <v>25</v>
      </c>
      <c r="M2" t="s">
        <v>26</v>
      </c>
      <c r="N2" t="s">
        <v>78</v>
      </c>
      <c r="O2" t="s">
        <v>79</v>
      </c>
      <c r="P2" t="s">
        <v>80</v>
      </c>
      <c r="Q2">
        <v>4</v>
      </c>
      <c r="R2">
        <v>1252</v>
      </c>
      <c r="S2">
        <v>2295</v>
      </c>
      <c r="T2">
        <v>4172</v>
      </c>
      <c r="U2">
        <v>5008</v>
      </c>
      <c r="V2">
        <v>9180</v>
      </c>
    </row>
    <row r="3" spans="1:26" x14ac:dyDescent="0.25">
      <c r="A3">
        <v>261695</v>
      </c>
      <c r="B3" s="1">
        <v>44531</v>
      </c>
      <c r="C3">
        <v>1</v>
      </c>
      <c r="D3" t="s">
        <v>19</v>
      </c>
      <c r="E3">
        <v>2021</v>
      </c>
      <c r="F3">
        <v>44</v>
      </c>
      <c r="G3" t="s">
        <v>20</v>
      </c>
      <c r="H3" t="s">
        <v>27</v>
      </c>
      <c r="I3" t="s">
        <v>28</v>
      </c>
      <c r="J3" t="s">
        <v>29</v>
      </c>
      <c r="K3" t="s">
        <v>24</v>
      </c>
      <c r="L3" t="s">
        <v>25</v>
      </c>
      <c r="M3" t="s">
        <v>30</v>
      </c>
      <c r="N3" t="s">
        <v>78</v>
      </c>
      <c r="O3" t="s">
        <v>81</v>
      </c>
      <c r="P3" t="s">
        <v>82</v>
      </c>
      <c r="Q3">
        <v>1</v>
      </c>
      <c r="R3">
        <v>1266</v>
      </c>
      <c r="S3">
        <v>2320</v>
      </c>
      <c r="T3">
        <v>1054</v>
      </c>
      <c r="U3">
        <v>1266</v>
      </c>
      <c r="V3">
        <v>2320</v>
      </c>
    </row>
    <row r="4" spans="1:26" x14ac:dyDescent="0.25">
      <c r="A4">
        <v>261697</v>
      </c>
      <c r="B4" s="1">
        <v>44532</v>
      </c>
      <c r="C4">
        <v>2</v>
      </c>
      <c r="D4" t="s">
        <v>19</v>
      </c>
      <c r="E4">
        <v>2021</v>
      </c>
      <c r="F4">
        <v>37</v>
      </c>
      <c r="G4" t="s">
        <v>20</v>
      </c>
      <c r="H4" t="s">
        <v>27</v>
      </c>
      <c r="I4" t="s">
        <v>31</v>
      </c>
      <c r="J4" t="s">
        <v>23</v>
      </c>
      <c r="K4" t="s">
        <v>24</v>
      </c>
      <c r="L4" t="s">
        <v>25</v>
      </c>
      <c r="M4" t="s">
        <v>32</v>
      </c>
      <c r="N4" t="s">
        <v>83</v>
      </c>
      <c r="O4" t="s">
        <v>81</v>
      </c>
      <c r="P4" t="s">
        <v>80</v>
      </c>
      <c r="Q4">
        <v>2</v>
      </c>
      <c r="R4">
        <v>420</v>
      </c>
      <c r="S4">
        <v>769</v>
      </c>
      <c r="T4">
        <v>698</v>
      </c>
      <c r="U4">
        <v>840</v>
      </c>
      <c r="V4">
        <v>1538</v>
      </c>
    </row>
    <row r="5" spans="1:26" x14ac:dyDescent="0.25">
      <c r="A5">
        <v>261698</v>
      </c>
      <c r="B5" s="1">
        <v>44532</v>
      </c>
      <c r="C5">
        <v>2</v>
      </c>
      <c r="D5" t="s">
        <v>19</v>
      </c>
      <c r="E5">
        <v>2021</v>
      </c>
      <c r="F5">
        <v>31</v>
      </c>
      <c r="G5" t="s">
        <v>33</v>
      </c>
      <c r="H5" t="s">
        <v>21</v>
      </c>
      <c r="I5" t="s">
        <v>34</v>
      </c>
      <c r="J5" t="s">
        <v>35</v>
      </c>
      <c r="K5" t="s">
        <v>24</v>
      </c>
      <c r="L5" t="s">
        <v>25</v>
      </c>
      <c r="M5" t="s">
        <v>36</v>
      </c>
      <c r="N5" t="s">
        <v>83</v>
      </c>
      <c r="O5" t="s">
        <v>81</v>
      </c>
      <c r="P5" t="s">
        <v>82</v>
      </c>
      <c r="Q5">
        <v>1</v>
      </c>
      <c r="R5">
        <v>420</v>
      </c>
      <c r="S5">
        <v>769</v>
      </c>
      <c r="T5">
        <v>349</v>
      </c>
      <c r="U5">
        <v>420</v>
      </c>
      <c r="V5">
        <v>769</v>
      </c>
    </row>
    <row r="6" spans="1:26" x14ac:dyDescent="0.25">
      <c r="A6">
        <v>261699</v>
      </c>
      <c r="B6" s="1">
        <v>44533</v>
      </c>
      <c r="C6">
        <v>3</v>
      </c>
      <c r="D6" t="s">
        <v>19</v>
      </c>
      <c r="E6">
        <v>2021</v>
      </c>
      <c r="F6">
        <v>37</v>
      </c>
      <c r="G6" t="s">
        <v>20</v>
      </c>
      <c r="H6" t="s">
        <v>21</v>
      </c>
      <c r="I6" t="s">
        <v>37</v>
      </c>
      <c r="J6" t="s">
        <v>23</v>
      </c>
      <c r="K6" t="s">
        <v>24</v>
      </c>
      <c r="L6" t="s">
        <v>25</v>
      </c>
      <c r="M6" t="s">
        <v>26</v>
      </c>
      <c r="N6" t="s">
        <v>78</v>
      </c>
      <c r="O6" t="s">
        <v>79</v>
      </c>
      <c r="P6" t="s">
        <v>80</v>
      </c>
      <c r="Q6">
        <v>2</v>
      </c>
      <c r="R6">
        <v>1252</v>
      </c>
      <c r="S6">
        <v>2295</v>
      </c>
      <c r="T6">
        <v>2086</v>
      </c>
      <c r="U6">
        <v>2504</v>
      </c>
      <c r="V6">
        <v>4590</v>
      </c>
    </row>
    <row r="7" spans="1:26" x14ac:dyDescent="0.25">
      <c r="A7">
        <v>261700</v>
      </c>
      <c r="B7" s="1">
        <v>44533</v>
      </c>
      <c r="C7">
        <v>3</v>
      </c>
      <c r="D7" t="s">
        <v>19</v>
      </c>
      <c r="E7">
        <v>2021</v>
      </c>
      <c r="F7">
        <v>24</v>
      </c>
      <c r="G7" t="s">
        <v>38</v>
      </c>
      <c r="H7" t="s">
        <v>21</v>
      </c>
      <c r="I7" t="s">
        <v>28</v>
      </c>
      <c r="J7" t="s">
        <v>29</v>
      </c>
      <c r="K7" t="s">
        <v>24</v>
      </c>
      <c r="L7" t="s">
        <v>25</v>
      </c>
      <c r="M7" t="s">
        <v>39</v>
      </c>
      <c r="N7" t="s">
        <v>78</v>
      </c>
      <c r="O7" t="s">
        <v>79</v>
      </c>
      <c r="P7" t="s">
        <v>84</v>
      </c>
      <c r="Q7">
        <v>1</v>
      </c>
      <c r="R7">
        <v>1252</v>
      </c>
      <c r="S7">
        <v>2295</v>
      </c>
      <c r="T7">
        <v>1043</v>
      </c>
      <c r="U7">
        <v>1252</v>
      </c>
      <c r="V7">
        <v>2295</v>
      </c>
    </row>
    <row r="8" spans="1:26" x14ac:dyDescent="0.25">
      <c r="A8">
        <v>261701</v>
      </c>
      <c r="B8" s="1">
        <v>44533</v>
      </c>
      <c r="C8">
        <v>3</v>
      </c>
      <c r="D8" t="s">
        <v>19</v>
      </c>
      <c r="E8">
        <v>2021</v>
      </c>
      <c r="F8">
        <v>37</v>
      </c>
      <c r="G8" t="s">
        <v>20</v>
      </c>
      <c r="H8" t="s">
        <v>27</v>
      </c>
      <c r="I8" t="s">
        <v>40</v>
      </c>
      <c r="J8" t="s">
        <v>41</v>
      </c>
      <c r="K8" t="s">
        <v>24</v>
      </c>
      <c r="L8" t="s">
        <v>25</v>
      </c>
      <c r="M8" t="s">
        <v>26</v>
      </c>
      <c r="N8" t="s">
        <v>78</v>
      </c>
      <c r="O8" t="s">
        <v>79</v>
      </c>
      <c r="P8" t="s">
        <v>80</v>
      </c>
      <c r="Q8">
        <v>1</v>
      </c>
      <c r="R8">
        <v>1252</v>
      </c>
      <c r="S8">
        <v>2295</v>
      </c>
      <c r="T8">
        <v>1043</v>
      </c>
      <c r="U8">
        <v>1252</v>
      </c>
      <c r="V8">
        <v>2295</v>
      </c>
    </row>
    <row r="9" spans="1:26" x14ac:dyDescent="0.25">
      <c r="A9">
        <v>261701</v>
      </c>
      <c r="B9" s="1">
        <v>44533</v>
      </c>
      <c r="C9">
        <v>3</v>
      </c>
      <c r="D9" t="s">
        <v>19</v>
      </c>
      <c r="E9">
        <v>2021</v>
      </c>
      <c r="F9">
        <v>37</v>
      </c>
      <c r="G9" t="s">
        <v>20</v>
      </c>
      <c r="H9" t="s">
        <v>27</v>
      </c>
      <c r="I9" t="s">
        <v>22</v>
      </c>
      <c r="J9" t="s">
        <v>41</v>
      </c>
      <c r="K9" t="s">
        <v>24</v>
      </c>
      <c r="L9" t="s">
        <v>25</v>
      </c>
      <c r="M9" t="s">
        <v>26</v>
      </c>
      <c r="N9" t="s">
        <v>78</v>
      </c>
      <c r="O9" t="s">
        <v>79</v>
      </c>
      <c r="P9" t="s">
        <v>80</v>
      </c>
      <c r="Q9">
        <v>1</v>
      </c>
      <c r="R9">
        <v>1252</v>
      </c>
      <c r="S9">
        <v>2295</v>
      </c>
      <c r="T9">
        <v>1043</v>
      </c>
      <c r="U9">
        <v>1252</v>
      </c>
      <c r="V9">
        <v>2295</v>
      </c>
    </row>
    <row r="10" spans="1:26" x14ac:dyDescent="0.25">
      <c r="A10">
        <v>261702</v>
      </c>
      <c r="B10" s="1">
        <v>44534</v>
      </c>
      <c r="C10">
        <v>4</v>
      </c>
      <c r="D10" t="s">
        <v>19</v>
      </c>
      <c r="E10">
        <v>2021</v>
      </c>
      <c r="F10">
        <v>31</v>
      </c>
      <c r="G10" t="s">
        <v>33</v>
      </c>
      <c r="H10" t="s">
        <v>21</v>
      </c>
      <c r="I10" t="s">
        <v>34</v>
      </c>
      <c r="J10" t="s">
        <v>35</v>
      </c>
      <c r="K10" t="s">
        <v>24</v>
      </c>
      <c r="L10" t="s">
        <v>25</v>
      </c>
      <c r="M10" t="s">
        <v>36</v>
      </c>
      <c r="N10" t="s">
        <v>83</v>
      </c>
      <c r="O10" t="s">
        <v>81</v>
      </c>
      <c r="P10" t="s">
        <v>82</v>
      </c>
      <c r="Q10">
        <v>4</v>
      </c>
      <c r="R10">
        <v>420</v>
      </c>
      <c r="S10">
        <v>769</v>
      </c>
      <c r="T10">
        <v>1396</v>
      </c>
      <c r="U10">
        <v>1680</v>
      </c>
      <c r="V10">
        <v>3076</v>
      </c>
    </row>
    <row r="11" spans="1:26" x14ac:dyDescent="0.25">
      <c r="A11">
        <v>261703</v>
      </c>
      <c r="B11" s="1">
        <v>44535</v>
      </c>
      <c r="C11">
        <v>5</v>
      </c>
      <c r="D11" t="s">
        <v>19</v>
      </c>
      <c r="E11">
        <v>2021</v>
      </c>
      <c r="F11">
        <v>39</v>
      </c>
      <c r="G11" t="s">
        <v>20</v>
      </c>
      <c r="H11" t="s">
        <v>21</v>
      </c>
      <c r="I11" t="s">
        <v>22</v>
      </c>
      <c r="J11" t="s">
        <v>23</v>
      </c>
      <c r="K11" t="s">
        <v>24</v>
      </c>
      <c r="L11" t="s">
        <v>25</v>
      </c>
      <c r="M11" t="s">
        <v>26</v>
      </c>
      <c r="N11" t="s">
        <v>78</v>
      </c>
      <c r="O11" t="s">
        <v>79</v>
      </c>
      <c r="P11" t="s">
        <v>80</v>
      </c>
      <c r="Q11">
        <v>4</v>
      </c>
      <c r="R11">
        <v>1252</v>
      </c>
      <c r="S11">
        <v>2295</v>
      </c>
      <c r="T11">
        <v>4172</v>
      </c>
      <c r="U11">
        <v>5008</v>
      </c>
      <c r="V11">
        <v>9180</v>
      </c>
    </row>
    <row r="12" spans="1:26" x14ac:dyDescent="0.25">
      <c r="A12">
        <v>261704</v>
      </c>
      <c r="B12" s="1">
        <v>44535</v>
      </c>
      <c r="C12">
        <v>5</v>
      </c>
      <c r="D12" t="s">
        <v>19</v>
      </c>
      <c r="E12">
        <v>2021</v>
      </c>
      <c r="F12">
        <v>42</v>
      </c>
      <c r="G12" t="s">
        <v>20</v>
      </c>
      <c r="H12" t="s">
        <v>27</v>
      </c>
      <c r="I12" t="s">
        <v>42</v>
      </c>
      <c r="J12" t="s">
        <v>43</v>
      </c>
      <c r="K12" t="s">
        <v>24</v>
      </c>
      <c r="L12" t="s">
        <v>25</v>
      </c>
      <c r="M12" t="s">
        <v>39</v>
      </c>
      <c r="N12" t="s">
        <v>78</v>
      </c>
      <c r="O12" t="s">
        <v>79</v>
      </c>
      <c r="P12" t="s">
        <v>84</v>
      </c>
      <c r="Q12">
        <v>4</v>
      </c>
      <c r="R12">
        <v>1252</v>
      </c>
      <c r="S12">
        <v>2295</v>
      </c>
      <c r="T12">
        <v>4172</v>
      </c>
      <c r="U12">
        <v>5008</v>
      </c>
      <c r="V12">
        <v>9180</v>
      </c>
    </row>
    <row r="13" spans="1:26" x14ac:dyDescent="0.25">
      <c r="A13">
        <v>261705</v>
      </c>
      <c r="B13" s="1">
        <v>44535</v>
      </c>
      <c r="C13">
        <v>5</v>
      </c>
      <c r="D13" t="s">
        <v>19</v>
      </c>
      <c r="E13">
        <v>2021</v>
      </c>
      <c r="F13">
        <v>35</v>
      </c>
      <c r="G13" t="s">
        <v>20</v>
      </c>
      <c r="H13" t="s">
        <v>21</v>
      </c>
      <c r="I13" t="s">
        <v>34</v>
      </c>
      <c r="J13" t="s">
        <v>44</v>
      </c>
      <c r="K13" t="s">
        <v>24</v>
      </c>
      <c r="L13" t="s">
        <v>25</v>
      </c>
      <c r="M13" t="s">
        <v>45</v>
      </c>
      <c r="N13" t="s">
        <v>78</v>
      </c>
      <c r="O13" t="s">
        <v>81</v>
      </c>
      <c r="P13" t="s">
        <v>84</v>
      </c>
      <c r="Q13">
        <v>1</v>
      </c>
      <c r="R13">
        <v>1266</v>
      </c>
      <c r="S13">
        <v>2320</v>
      </c>
      <c r="T13">
        <v>1054</v>
      </c>
      <c r="U13">
        <v>1266</v>
      </c>
      <c r="V13">
        <v>2320</v>
      </c>
    </row>
    <row r="14" spans="1:26" x14ac:dyDescent="0.25">
      <c r="A14">
        <v>261706</v>
      </c>
      <c r="B14" s="1">
        <v>44535</v>
      </c>
      <c r="C14">
        <v>5</v>
      </c>
      <c r="D14" t="s">
        <v>19</v>
      </c>
      <c r="E14">
        <v>2021</v>
      </c>
      <c r="F14">
        <v>37</v>
      </c>
      <c r="G14" t="s">
        <v>20</v>
      </c>
      <c r="H14" t="s">
        <v>21</v>
      </c>
      <c r="I14" t="s">
        <v>22</v>
      </c>
      <c r="J14" t="s">
        <v>23</v>
      </c>
      <c r="K14" t="s">
        <v>24</v>
      </c>
      <c r="L14" t="s">
        <v>25</v>
      </c>
      <c r="M14" t="s">
        <v>26</v>
      </c>
      <c r="N14" t="s">
        <v>78</v>
      </c>
      <c r="O14" t="s">
        <v>79</v>
      </c>
      <c r="P14" t="s">
        <v>80</v>
      </c>
      <c r="Q14">
        <v>1</v>
      </c>
      <c r="R14">
        <v>1252</v>
      </c>
      <c r="S14">
        <v>2295</v>
      </c>
      <c r="T14">
        <v>1043</v>
      </c>
      <c r="U14">
        <v>1252</v>
      </c>
      <c r="V14">
        <v>2295</v>
      </c>
    </row>
    <row r="15" spans="1:26" x14ac:dyDescent="0.25">
      <c r="A15">
        <v>261707</v>
      </c>
      <c r="B15" s="1">
        <v>44536</v>
      </c>
      <c r="C15">
        <v>6</v>
      </c>
      <c r="D15" t="s">
        <v>19</v>
      </c>
      <c r="E15">
        <v>2021</v>
      </c>
      <c r="F15">
        <v>23</v>
      </c>
      <c r="G15" t="s">
        <v>38</v>
      </c>
      <c r="H15" t="s">
        <v>27</v>
      </c>
      <c r="I15" t="s">
        <v>28</v>
      </c>
      <c r="J15" t="s">
        <v>29</v>
      </c>
      <c r="K15" t="s">
        <v>24</v>
      </c>
      <c r="L15" t="s">
        <v>25</v>
      </c>
      <c r="M15" t="s">
        <v>32</v>
      </c>
      <c r="N15" t="s">
        <v>83</v>
      </c>
      <c r="O15" t="s">
        <v>81</v>
      </c>
      <c r="P15" t="s">
        <v>80</v>
      </c>
      <c r="Q15">
        <v>3</v>
      </c>
      <c r="R15">
        <v>420</v>
      </c>
      <c r="S15">
        <v>769</v>
      </c>
      <c r="T15">
        <v>1047</v>
      </c>
      <c r="U15">
        <v>1260</v>
      </c>
      <c r="V15">
        <v>2307</v>
      </c>
      <c r="Y15" s="6" t="s">
        <v>102</v>
      </c>
      <c r="Z15">
        <f>SUM(T:T)</f>
        <v>162220</v>
      </c>
    </row>
    <row r="16" spans="1:26" x14ac:dyDescent="0.25">
      <c r="A16">
        <v>261708</v>
      </c>
      <c r="B16" s="1">
        <v>44536</v>
      </c>
      <c r="C16">
        <v>6</v>
      </c>
      <c r="D16" t="s">
        <v>19</v>
      </c>
      <c r="E16">
        <v>2021</v>
      </c>
      <c r="F16">
        <v>27</v>
      </c>
      <c r="G16" t="s">
        <v>33</v>
      </c>
      <c r="H16" t="s">
        <v>27</v>
      </c>
      <c r="I16" t="s">
        <v>46</v>
      </c>
      <c r="J16" t="s">
        <v>47</v>
      </c>
      <c r="K16" t="s">
        <v>24</v>
      </c>
      <c r="L16" t="s">
        <v>25</v>
      </c>
      <c r="M16" t="s">
        <v>26</v>
      </c>
      <c r="N16" t="s">
        <v>78</v>
      </c>
      <c r="O16" t="s">
        <v>79</v>
      </c>
      <c r="P16" t="s">
        <v>80</v>
      </c>
      <c r="Q16">
        <v>1</v>
      </c>
      <c r="R16">
        <v>1252</v>
      </c>
      <c r="S16">
        <v>2295</v>
      </c>
      <c r="T16">
        <v>1043</v>
      </c>
      <c r="U16">
        <v>1252</v>
      </c>
      <c r="V16">
        <v>2295</v>
      </c>
      <c r="Y16" s="6" t="s">
        <v>101</v>
      </c>
      <c r="Z16">
        <f>SUM(V:V)</f>
        <v>358397</v>
      </c>
    </row>
    <row r="17" spans="1:25" x14ac:dyDescent="0.25">
      <c r="A17">
        <v>261709</v>
      </c>
      <c r="B17" s="1">
        <v>44536</v>
      </c>
      <c r="C17">
        <v>6</v>
      </c>
      <c r="D17" t="s">
        <v>19</v>
      </c>
      <c r="E17">
        <v>2021</v>
      </c>
      <c r="F17">
        <v>36</v>
      </c>
      <c r="G17" t="s">
        <v>20</v>
      </c>
      <c r="H17" t="s">
        <v>27</v>
      </c>
      <c r="I17" t="s">
        <v>34</v>
      </c>
      <c r="J17" t="s">
        <v>35</v>
      </c>
      <c r="K17" t="s">
        <v>24</v>
      </c>
      <c r="L17" t="s">
        <v>25</v>
      </c>
      <c r="M17" t="s">
        <v>48</v>
      </c>
      <c r="N17" t="s">
        <v>78</v>
      </c>
      <c r="O17" t="s">
        <v>79</v>
      </c>
      <c r="P17" t="s">
        <v>82</v>
      </c>
      <c r="Q17">
        <v>1</v>
      </c>
      <c r="R17">
        <v>1252</v>
      </c>
      <c r="S17">
        <v>2295</v>
      </c>
      <c r="T17">
        <v>1043</v>
      </c>
      <c r="U17">
        <v>1252</v>
      </c>
      <c r="V17">
        <v>2295</v>
      </c>
    </row>
    <row r="18" spans="1:25" x14ac:dyDescent="0.25">
      <c r="A18">
        <v>261710</v>
      </c>
      <c r="B18" s="1">
        <v>44536</v>
      </c>
      <c r="C18">
        <v>6</v>
      </c>
      <c r="D18" t="s">
        <v>19</v>
      </c>
      <c r="E18">
        <v>2021</v>
      </c>
      <c r="F18">
        <v>47</v>
      </c>
      <c r="G18" t="s">
        <v>20</v>
      </c>
      <c r="H18" t="s">
        <v>27</v>
      </c>
      <c r="I18" t="s">
        <v>28</v>
      </c>
      <c r="J18" t="s">
        <v>29</v>
      </c>
      <c r="K18" t="s">
        <v>24</v>
      </c>
      <c r="L18" t="s">
        <v>25</v>
      </c>
      <c r="M18" t="s">
        <v>45</v>
      </c>
      <c r="N18" t="s">
        <v>78</v>
      </c>
      <c r="O18" t="s">
        <v>81</v>
      </c>
      <c r="P18" t="s">
        <v>84</v>
      </c>
      <c r="Q18">
        <v>1</v>
      </c>
      <c r="R18">
        <v>1266</v>
      </c>
      <c r="S18">
        <v>2320</v>
      </c>
      <c r="T18">
        <v>1054</v>
      </c>
      <c r="U18">
        <v>1266</v>
      </c>
      <c r="V18">
        <v>2320</v>
      </c>
    </row>
    <row r="19" spans="1:25" x14ac:dyDescent="0.25">
      <c r="A19">
        <v>261711</v>
      </c>
      <c r="B19" s="1">
        <v>44537</v>
      </c>
      <c r="C19">
        <v>7</v>
      </c>
      <c r="D19" t="s">
        <v>49</v>
      </c>
      <c r="E19">
        <v>2021</v>
      </c>
      <c r="F19">
        <v>30</v>
      </c>
      <c r="G19" t="s">
        <v>33</v>
      </c>
      <c r="H19" t="s">
        <v>27</v>
      </c>
      <c r="I19" t="s">
        <v>22</v>
      </c>
      <c r="J19" t="s">
        <v>23</v>
      </c>
      <c r="K19" t="s">
        <v>24</v>
      </c>
      <c r="L19" t="s">
        <v>25</v>
      </c>
      <c r="M19" t="s">
        <v>50</v>
      </c>
      <c r="N19" t="s">
        <v>83</v>
      </c>
      <c r="O19" t="s">
        <v>81</v>
      </c>
      <c r="P19" t="s">
        <v>84</v>
      </c>
      <c r="Q19">
        <v>4</v>
      </c>
      <c r="R19">
        <v>420</v>
      </c>
      <c r="S19">
        <v>769</v>
      </c>
      <c r="T19">
        <v>1396</v>
      </c>
      <c r="U19">
        <v>1680</v>
      </c>
      <c r="V19">
        <v>3076</v>
      </c>
    </row>
    <row r="20" spans="1:25" x14ac:dyDescent="0.25">
      <c r="A20">
        <v>261712</v>
      </c>
      <c r="B20" s="1">
        <v>44537</v>
      </c>
      <c r="C20">
        <v>7</v>
      </c>
      <c r="D20" t="s">
        <v>19</v>
      </c>
      <c r="E20">
        <v>2021</v>
      </c>
      <c r="F20">
        <v>38</v>
      </c>
      <c r="G20" t="s">
        <v>20</v>
      </c>
      <c r="H20" t="s">
        <v>27</v>
      </c>
      <c r="I20" t="s">
        <v>22</v>
      </c>
      <c r="J20" t="s">
        <v>23</v>
      </c>
      <c r="K20" t="s">
        <v>24</v>
      </c>
      <c r="L20" t="s">
        <v>25</v>
      </c>
      <c r="M20" t="s">
        <v>30</v>
      </c>
      <c r="N20" t="s">
        <v>78</v>
      </c>
      <c r="O20" t="s">
        <v>81</v>
      </c>
      <c r="P20" t="s">
        <v>82</v>
      </c>
      <c r="Q20">
        <v>2</v>
      </c>
      <c r="R20">
        <v>1266</v>
      </c>
      <c r="S20">
        <v>2320</v>
      </c>
      <c r="T20">
        <v>2108</v>
      </c>
      <c r="U20">
        <v>2532</v>
      </c>
      <c r="V20">
        <v>4640</v>
      </c>
    </row>
    <row r="21" spans="1:25" x14ac:dyDescent="0.25">
      <c r="A21">
        <v>261713</v>
      </c>
      <c r="B21" s="1">
        <v>44538</v>
      </c>
      <c r="C21">
        <v>8</v>
      </c>
      <c r="D21" t="s">
        <v>19</v>
      </c>
      <c r="E21">
        <v>2021</v>
      </c>
      <c r="F21">
        <v>19</v>
      </c>
      <c r="G21" t="s">
        <v>38</v>
      </c>
      <c r="H21" t="s">
        <v>21</v>
      </c>
      <c r="I21" t="s">
        <v>34</v>
      </c>
      <c r="J21" t="s">
        <v>35</v>
      </c>
      <c r="K21" t="s">
        <v>24</v>
      </c>
      <c r="L21" t="s">
        <v>25</v>
      </c>
      <c r="M21" t="s">
        <v>51</v>
      </c>
      <c r="N21" t="s">
        <v>85</v>
      </c>
      <c r="O21" t="s">
        <v>81</v>
      </c>
      <c r="P21" t="s">
        <v>82</v>
      </c>
      <c r="Q21">
        <v>4</v>
      </c>
      <c r="R21">
        <v>308</v>
      </c>
      <c r="S21">
        <v>565</v>
      </c>
      <c r="T21">
        <v>1028</v>
      </c>
      <c r="U21">
        <v>1232</v>
      </c>
      <c r="V21">
        <v>2260</v>
      </c>
    </row>
    <row r="22" spans="1:25" x14ac:dyDescent="0.25">
      <c r="A22">
        <v>261714</v>
      </c>
      <c r="B22" s="1">
        <v>44538</v>
      </c>
      <c r="C22">
        <v>8</v>
      </c>
      <c r="D22" t="s">
        <v>19</v>
      </c>
      <c r="E22">
        <v>2021</v>
      </c>
      <c r="F22">
        <v>30</v>
      </c>
      <c r="G22" t="s">
        <v>33</v>
      </c>
      <c r="H22" t="s">
        <v>21</v>
      </c>
      <c r="I22" t="s">
        <v>46</v>
      </c>
      <c r="J22" t="s">
        <v>47</v>
      </c>
      <c r="K22" t="s">
        <v>24</v>
      </c>
      <c r="L22" t="s">
        <v>25</v>
      </c>
      <c r="M22" t="s">
        <v>45</v>
      </c>
      <c r="N22" t="s">
        <v>78</v>
      </c>
      <c r="O22" t="s">
        <v>81</v>
      </c>
      <c r="P22" t="s">
        <v>84</v>
      </c>
      <c r="Q22">
        <v>4</v>
      </c>
      <c r="R22">
        <v>1266</v>
      </c>
      <c r="S22">
        <v>2320</v>
      </c>
      <c r="T22">
        <v>4216</v>
      </c>
      <c r="U22">
        <v>5064</v>
      </c>
      <c r="V22">
        <v>9280</v>
      </c>
    </row>
    <row r="23" spans="1:25" x14ac:dyDescent="0.25">
      <c r="A23">
        <v>261717</v>
      </c>
      <c r="B23" s="1">
        <v>44539</v>
      </c>
      <c r="C23">
        <v>9</v>
      </c>
      <c r="D23" t="s">
        <v>19</v>
      </c>
      <c r="E23">
        <v>2021</v>
      </c>
      <c r="F23">
        <v>33</v>
      </c>
      <c r="G23" t="s">
        <v>33</v>
      </c>
      <c r="H23" t="s">
        <v>21</v>
      </c>
      <c r="I23" t="s">
        <v>34</v>
      </c>
      <c r="J23" t="s">
        <v>53</v>
      </c>
      <c r="K23" t="s">
        <v>24</v>
      </c>
      <c r="L23" t="s">
        <v>25</v>
      </c>
      <c r="M23" t="s">
        <v>54</v>
      </c>
      <c r="N23" t="s">
        <v>86</v>
      </c>
      <c r="O23" t="s">
        <v>79</v>
      </c>
      <c r="P23" t="s">
        <v>84</v>
      </c>
      <c r="Q23">
        <v>2</v>
      </c>
      <c r="R23">
        <v>1898</v>
      </c>
      <c r="S23">
        <v>3375</v>
      </c>
      <c r="T23">
        <v>2954</v>
      </c>
      <c r="U23">
        <v>3796</v>
      </c>
      <c r="V23">
        <v>6750</v>
      </c>
      <c r="X23" s="6" t="s">
        <v>99</v>
      </c>
      <c r="Y23">
        <f>COUNTIF(H:H,H9)</f>
        <v>39</v>
      </c>
    </row>
    <row r="24" spans="1:25" x14ac:dyDescent="0.25">
      <c r="A24">
        <v>261718</v>
      </c>
      <c r="B24" s="1">
        <v>44539</v>
      </c>
      <c r="C24">
        <v>9</v>
      </c>
      <c r="D24" t="s">
        <v>19</v>
      </c>
      <c r="E24">
        <v>2021</v>
      </c>
      <c r="F24">
        <v>41</v>
      </c>
      <c r="G24" t="s">
        <v>20</v>
      </c>
      <c r="H24" t="s">
        <v>21</v>
      </c>
      <c r="I24" t="s">
        <v>42</v>
      </c>
      <c r="J24" t="s">
        <v>55</v>
      </c>
      <c r="K24" t="s">
        <v>24</v>
      </c>
      <c r="L24" t="s">
        <v>25</v>
      </c>
      <c r="M24" t="s">
        <v>30</v>
      </c>
      <c r="N24" t="s">
        <v>78</v>
      </c>
      <c r="O24" t="s">
        <v>81</v>
      </c>
      <c r="P24" t="s">
        <v>82</v>
      </c>
      <c r="Q24">
        <v>1</v>
      </c>
      <c r="R24">
        <v>1266</v>
      </c>
      <c r="S24">
        <v>2320</v>
      </c>
      <c r="T24">
        <v>1054</v>
      </c>
      <c r="U24">
        <v>1266</v>
      </c>
      <c r="V24">
        <v>2320</v>
      </c>
    </row>
    <row r="25" spans="1:25" x14ac:dyDescent="0.25">
      <c r="A25">
        <v>261719</v>
      </c>
      <c r="B25" s="1">
        <v>44540</v>
      </c>
      <c r="C25">
        <v>10</v>
      </c>
      <c r="D25" t="s">
        <v>19</v>
      </c>
      <c r="E25">
        <v>2021</v>
      </c>
      <c r="F25">
        <v>34</v>
      </c>
      <c r="G25" t="s">
        <v>33</v>
      </c>
      <c r="H25" t="s">
        <v>21</v>
      </c>
      <c r="I25" t="s">
        <v>22</v>
      </c>
      <c r="J25" t="s">
        <v>23</v>
      </c>
      <c r="K25" t="s">
        <v>24</v>
      </c>
      <c r="L25" t="s">
        <v>25</v>
      </c>
      <c r="M25" t="s">
        <v>48</v>
      </c>
      <c r="N25" t="s">
        <v>78</v>
      </c>
      <c r="O25" t="s">
        <v>79</v>
      </c>
      <c r="P25" t="s">
        <v>82</v>
      </c>
      <c r="Q25">
        <v>2</v>
      </c>
      <c r="R25">
        <v>1252</v>
      </c>
      <c r="S25">
        <v>2295</v>
      </c>
      <c r="T25">
        <v>2086</v>
      </c>
      <c r="U25">
        <v>2504</v>
      </c>
      <c r="V25">
        <v>4590</v>
      </c>
    </row>
    <row r="26" spans="1:25" x14ac:dyDescent="0.25">
      <c r="A26">
        <v>261720</v>
      </c>
      <c r="B26" s="1">
        <v>44540</v>
      </c>
      <c r="C26">
        <v>10</v>
      </c>
      <c r="D26" t="s">
        <v>19</v>
      </c>
      <c r="E26">
        <v>2021</v>
      </c>
      <c r="F26">
        <v>40</v>
      </c>
      <c r="G26" t="s">
        <v>20</v>
      </c>
      <c r="H26" t="s">
        <v>27</v>
      </c>
      <c r="I26" t="s">
        <v>34</v>
      </c>
      <c r="J26" t="s">
        <v>35</v>
      </c>
      <c r="K26" t="s">
        <v>24</v>
      </c>
      <c r="L26" t="s">
        <v>25</v>
      </c>
      <c r="M26" t="s">
        <v>48</v>
      </c>
      <c r="N26" t="s">
        <v>78</v>
      </c>
      <c r="O26" t="s">
        <v>79</v>
      </c>
      <c r="P26" t="s">
        <v>82</v>
      </c>
      <c r="Q26">
        <v>2</v>
      </c>
      <c r="R26">
        <v>1252</v>
      </c>
      <c r="S26">
        <v>2295</v>
      </c>
      <c r="T26">
        <v>2086</v>
      </c>
      <c r="U26">
        <v>2504</v>
      </c>
      <c r="V26">
        <v>4590</v>
      </c>
      <c r="X26" s="6" t="s">
        <v>100</v>
      </c>
      <c r="Y26">
        <f>COUNTIF(H:H,H11)</f>
        <v>48</v>
      </c>
    </row>
    <row r="27" spans="1:25" x14ac:dyDescent="0.25">
      <c r="A27">
        <v>261721</v>
      </c>
      <c r="B27" s="1">
        <v>44540</v>
      </c>
      <c r="C27">
        <v>10</v>
      </c>
      <c r="D27" t="s">
        <v>19</v>
      </c>
      <c r="E27">
        <v>2021</v>
      </c>
      <c r="F27">
        <v>26</v>
      </c>
      <c r="G27" t="s">
        <v>33</v>
      </c>
      <c r="H27" t="s">
        <v>27</v>
      </c>
      <c r="I27" t="s">
        <v>28</v>
      </c>
      <c r="J27" t="s">
        <v>29</v>
      </c>
      <c r="K27" t="s">
        <v>24</v>
      </c>
      <c r="L27" t="s">
        <v>25</v>
      </c>
      <c r="M27" t="s">
        <v>39</v>
      </c>
      <c r="N27" t="s">
        <v>78</v>
      </c>
      <c r="O27" t="s">
        <v>79</v>
      </c>
      <c r="P27" t="s">
        <v>84</v>
      </c>
      <c r="Q27">
        <v>1</v>
      </c>
      <c r="R27">
        <v>1252</v>
      </c>
      <c r="S27">
        <v>2295</v>
      </c>
      <c r="T27">
        <v>1043</v>
      </c>
      <c r="U27">
        <v>1252</v>
      </c>
      <c r="V27">
        <v>2295</v>
      </c>
    </row>
    <row r="28" spans="1:25" x14ac:dyDescent="0.25">
      <c r="A28">
        <v>261722</v>
      </c>
      <c r="B28" s="1">
        <v>44540</v>
      </c>
      <c r="C28">
        <v>10</v>
      </c>
      <c r="D28" t="s">
        <v>19</v>
      </c>
      <c r="E28">
        <v>2021</v>
      </c>
      <c r="F28">
        <v>34</v>
      </c>
      <c r="G28" t="s">
        <v>33</v>
      </c>
      <c r="H28" t="s">
        <v>27</v>
      </c>
      <c r="I28" t="s">
        <v>22</v>
      </c>
      <c r="J28" t="s">
        <v>23</v>
      </c>
      <c r="K28" t="s">
        <v>24</v>
      </c>
      <c r="L28" t="s">
        <v>25</v>
      </c>
      <c r="M28" t="s">
        <v>56</v>
      </c>
      <c r="N28" t="s">
        <v>85</v>
      </c>
      <c r="O28" t="s">
        <v>79</v>
      </c>
      <c r="P28" t="s">
        <v>87</v>
      </c>
      <c r="Q28">
        <v>1</v>
      </c>
      <c r="R28">
        <v>295</v>
      </c>
      <c r="S28">
        <v>540</v>
      </c>
      <c r="T28">
        <v>245</v>
      </c>
      <c r="U28">
        <v>295</v>
      </c>
      <c r="V28">
        <v>540</v>
      </c>
    </row>
    <row r="29" spans="1:25" x14ac:dyDescent="0.25">
      <c r="A29">
        <v>261723</v>
      </c>
      <c r="B29" s="1">
        <v>44540</v>
      </c>
      <c r="C29">
        <v>10</v>
      </c>
      <c r="D29" t="s">
        <v>19</v>
      </c>
      <c r="E29">
        <v>2021</v>
      </c>
      <c r="F29">
        <v>34</v>
      </c>
      <c r="G29" t="s">
        <v>33</v>
      </c>
      <c r="H29" t="s">
        <v>21</v>
      </c>
      <c r="I29" t="s">
        <v>22</v>
      </c>
      <c r="J29" t="s">
        <v>41</v>
      </c>
      <c r="K29" t="s">
        <v>24</v>
      </c>
      <c r="L29" t="s">
        <v>25</v>
      </c>
      <c r="M29" t="s">
        <v>57</v>
      </c>
      <c r="N29" t="s">
        <v>86</v>
      </c>
      <c r="O29" t="s">
        <v>81</v>
      </c>
      <c r="P29" t="s">
        <v>88</v>
      </c>
      <c r="Q29">
        <v>1</v>
      </c>
      <c r="R29">
        <v>1912</v>
      </c>
      <c r="S29">
        <v>3400</v>
      </c>
      <c r="T29">
        <v>1488</v>
      </c>
      <c r="U29">
        <v>1912</v>
      </c>
      <c r="V29">
        <v>3400</v>
      </c>
    </row>
    <row r="30" spans="1:25" x14ac:dyDescent="0.25">
      <c r="A30">
        <v>261724</v>
      </c>
      <c r="B30" s="1">
        <v>44540</v>
      </c>
      <c r="C30">
        <v>10</v>
      </c>
      <c r="D30" t="s">
        <v>19</v>
      </c>
      <c r="E30">
        <v>2021</v>
      </c>
      <c r="F30">
        <v>38</v>
      </c>
      <c r="G30" t="s">
        <v>20</v>
      </c>
      <c r="H30" t="s">
        <v>27</v>
      </c>
      <c r="I30" t="s">
        <v>34</v>
      </c>
      <c r="J30" t="s">
        <v>35</v>
      </c>
      <c r="K30" t="s">
        <v>24</v>
      </c>
      <c r="L30" t="s">
        <v>25</v>
      </c>
      <c r="M30" t="s">
        <v>39</v>
      </c>
      <c r="N30" t="s">
        <v>78</v>
      </c>
      <c r="O30" t="s">
        <v>79</v>
      </c>
      <c r="P30" t="s">
        <v>84</v>
      </c>
      <c r="Q30">
        <v>1</v>
      </c>
      <c r="R30">
        <v>1252</v>
      </c>
      <c r="S30">
        <v>2295</v>
      </c>
      <c r="T30">
        <v>1043</v>
      </c>
      <c r="U30">
        <v>1252</v>
      </c>
      <c r="V30">
        <v>2295</v>
      </c>
    </row>
    <row r="31" spans="1:25" x14ac:dyDescent="0.25">
      <c r="A31">
        <v>261725</v>
      </c>
      <c r="B31" s="1">
        <v>44541</v>
      </c>
      <c r="C31">
        <v>11</v>
      </c>
      <c r="D31" t="s">
        <v>19</v>
      </c>
      <c r="E31">
        <v>2021</v>
      </c>
      <c r="F31">
        <v>24</v>
      </c>
      <c r="G31" t="s">
        <v>38</v>
      </c>
      <c r="H31" t="s">
        <v>21</v>
      </c>
      <c r="I31" t="s">
        <v>58</v>
      </c>
      <c r="J31" t="s">
        <v>59</v>
      </c>
      <c r="K31" t="s">
        <v>24</v>
      </c>
      <c r="L31" t="s">
        <v>25</v>
      </c>
      <c r="M31" t="s">
        <v>39</v>
      </c>
      <c r="N31" t="s">
        <v>78</v>
      </c>
      <c r="O31" t="s">
        <v>79</v>
      </c>
      <c r="P31" t="s">
        <v>84</v>
      </c>
      <c r="Q31">
        <v>3</v>
      </c>
      <c r="R31">
        <v>1252</v>
      </c>
      <c r="S31">
        <v>2295</v>
      </c>
      <c r="T31">
        <v>3129</v>
      </c>
      <c r="U31">
        <v>3756</v>
      </c>
      <c r="V31">
        <v>6885</v>
      </c>
    </row>
    <row r="32" spans="1:25" x14ac:dyDescent="0.25">
      <c r="A32">
        <v>261726</v>
      </c>
      <c r="B32" s="1">
        <v>44541</v>
      </c>
      <c r="C32">
        <v>11</v>
      </c>
      <c r="D32" t="s">
        <v>19</v>
      </c>
      <c r="E32">
        <v>2021</v>
      </c>
      <c r="F32">
        <v>41</v>
      </c>
      <c r="G32" t="s">
        <v>20</v>
      </c>
      <c r="H32" t="s">
        <v>21</v>
      </c>
      <c r="I32" t="s">
        <v>34</v>
      </c>
      <c r="J32" t="s">
        <v>35</v>
      </c>
      <c r="K32" t="s">
        <v>24</v>
      </c>
      <c r="L32" t="s">
        <v>25</v>
      </c>
      <c r="M32" t="s">
        <v>50</v>
      </c>
      <c r="N32" t="s">
        <v>83</v>
      </c>
      <c r="O32" t="s">
        <v>81</v>
      </c>
      <c r="P32" t="s">
        <v>84</v>
      </c>
      <c r="Q32">
        <v>2</v>
      </c>
      <c r="R32">
        <v>420</v>
      </c>
      <c r="S32">
        <v>769</v>
      </c>
      <c r="T32">
        <v>698</v>
      </c>
      <c r="U32">
        <v>840</v>
      </c>
      <c r="V32">
        <v>1538</v>
      </c>
    </row>
    <row r="33" spans="1:22" x14ac:dyDescent="0.25">
      <c r="A33">
        <v>261727</v>
      </c>
      <c r="B33" s="1">
        <v>44541</v>
      </c>
      <c r="C33">
        <v>11</v>
      </c>
      <c r="D33" t="s">
        <v>19</v>
      </c>
      <c r="E33">
        <v>2021</v>
      </c>
      <c r="F33">
        <v>27</v>
      </c>
      <c r="G33" t="s">
        <v>33</v>
      </c>
      <c r="H33" t="s">
        <v>27</v>
      </c>
      <c r="I33" t="s">
        <v>46</v>
      </c>
      <c r="J33" t="s">
        <v>47</v>
      </c>
      <c r="K33" t="s">
        <v>24</v>
      </c>
      <c r="L33" t="s">
        <v>25</v>
      </c>
      <c r="M33" t="s">
        <v>26</v>
      </c>
      <c r="N33" t="s">
        <v>78</v>
      </c>
      <c r="O33" t="s">
        <v>79</v>
      </c>
      <c r="P33" t="s">
        <v>80</v>
      </c>
      <c r="Q33">
        <v>1</v>
      </c>
      <c r="R33">
        <v>1252</v>
      </c>
      <c r="S33">
        <v>2295</v>
      </c>
      <c r="T33">
        <v>1043</v>
      </c>
      <c r="U33">
        <v>1252</v>
      </c>
      <c r="V33">
        <v>2295</v>
      </c>
    </row>
    <row r="34" spans="1:22" x14ac:dyDescent="0.25">
      <c r="A34">
        <v>261728</v>
      </c>
      <c r="B34" s="1">
        <v>44541</v>
      </c>
      <c r="C34">
        <v>11</v>
      </c>
      <c r="D34" t="s">
        <v>19</v>
      </c>
      <c r="E34">
        <v>2021</v>
      </c>
      <c r="F34">
        <v>37</v>
      </c>
      <c r="G34" t="s">
        <v>20</v>
      </c>
      <c r="H34" t="s">
        <v>27</v>
      </c>
      <c r="I34" t="s">
        <v>22</v>
      </c>
      <c r="J34" t="s">
        <v>23</v>
      </c>
      <c r="K34" t="s">
        <v>24</v>
      </c>
      <c r="L34" t="s">
        <v>25</v>
      </c>
      <c r="M34" t="s">
        <v>32</v>
      </c>
      <c r="N34" t="s">
        <v>83</v>
      </c>
      <c r="O34" t="s">
        <v>81</v>
      </c>
      <c r="P34" t="s">
        <v>80</v>
      </c>
      <c r="Q34">
        <v>1</v>
      </c>
      <c r="R34">
        <v>420</v>
      </c>
      <c r="S34">
        <v>769</v>
      </c>
      <c r="T34">
        <v>349</v>
      </c>
      <c r="U34">
        <v>420</v>
      </c>
      <c r="V34">
        <v>769</v>
      </c>
    </row>
    <row r="35" spans="1:22" x14ac:dyDescent="0.25">
      <c r="A35">
        <v>261729</v>
      </c>
      <c r="B35" s="1">
        <v>44541</v>
      </c>
      <c r="C35">
        <v>11</v>
      </c>
      <c r="D35" t="s">
        <v>19</v>
      </c>
      <c r="E35">
        <v>2021</v>
      </c>
      <c r="F35">
        <v>38</v>
      </c>
      <c r="G35" t="s">
        <v>20</v>
      </c>
      <c r="H35" t="s">
        <v>21</v>
      </c>
      <c r="I35" t="s">
        <v>22</v>
      </c>
      <c r="J35" t="s">
        <v>23</v>
      </c>
      <c r="K35" t="s">
        <v>24</v>
      </c>
      <c r="L35" t="s">
        <v>25</v>
      </c>
      <c r="M35" t="s">
        <v>45</v>
      </c>
      <c r="N35" t="s">
        <v>78</v>
      </c>
      <c r="O35" t="s">
        <v>81</v>
      </c>
      <c r="P35" t="s">
        <v>84</v>
      </c>
      <c r="Q35">
        <v>1</v>
      </c>
      <c r="R35">
        <v>1266</v>
      </c>
      <c r="S35">
        <v>2320</v>
      </c>
      <c r="T35">
        <v>1054</v>
      </c>
      <c r="U35">
        <v>1266</v>
      </c>
      <c r="V35">
        <v>2320</v>
      </c>
    </row>
    <row r="36" spans="1:22" x14ac:dyDescent="0.25">
      <c r="A36">
        <v>261730</v>
      </c>
      <c r="B36" s="1">
        <v>44542</v>
      </c>
      <c r="C36">
        <v>12</v>
      </c>
      <c r="D36" t="s">
        <v>19</v>
      </c>
      <c r="E36">
        <v>2021</v>
      </c>
      <c r="F36">
        <v>36</v>
      </c>
      <c r="G36" t="s">
        <v>20</v>
      </c>
      <c r="H36" t="s">
        <v>21</v>
      </c>
      <c r="I36" t="s">
        <v>34</v>
      </c>
      <c r="J36" t="s">
        <v>35</v>
      </c>
      <c r="K36" t="s">
        <v>24</v>
      </c>
      <c r="L36" t="s">
        <v>25</v>
      </c>
      <c r="M36" t="s">
        <v>30</v>
      </c>
      <c r="N36" t="s">
        <v>78</v>
      </c>
      <c r="O36" t="s">
        <v>81</v>
      </c>
      <c r="P36" t="s">
        <v>82</v>
      </c>
      <c r="Q36">
        <v>4</v>
      </c>
      <c r="R36">
        <v>1266</v>
      </c>
      <c r="S36">
        <v>2320</v>
      </c>
      <c r="T36">
        <v>4216</v>
      </c>
      <c r="U36">
        <v>5064</v>
      </c>
      <c r="V36">
        <v>9280</v>
      </c>
    </row>
    <row r="37" spans="1:22" x14ac:dyDescent="0.25">
      <c r="A37">
        <v>261731</v>
      </c>
      <c r="B37" s="1">
        <v>44542</v>
      </c>
      <c r="C37">
        <v>12</v>
      </c>
      <c r="D37" t="s">
        <v>19</v>
      </c>
      <c r="E37">
        <v>2021</v>
      </c>
      <c r="F37">
        <v>37</v>
      </c>
      <c r="G37" t="s">
        <v>20</v>
      </c>
      <c r="H37" t="s">
        <v>27</v>
      </c>
      <c r="I37" t="s">
        <v>22</v>
      </c>
      <c r="J37" t="s">
        <v>23</v>
      </c>
      <c r="K37" t="s">
        <v>24</v>
      </c>
      <c r="L37" t="s">
        <v>25</v>
      </c>
      <c r="M37" t="s">
        <v>32</v>
      </c>
      <c r="N37" t="s">
        <v>83</v>
      </c>
      <c r="O37" t="s">
        <v>81</v>
      </c>
      <c r="P37" t="s">
        <v>80</v>
      </c>
      <c r="Q37">
        <v>4</v>
      </c>
      <c r="R37">
        <v>420</v>
      </c>
      <c r="S37">
        <v>769</v>
      </c>
      <c r="T37">
        <v>1396</v>
      </c>
      <c r="U37">
        <v>1680</v>
      </c>
      <c r="V37">
        <v>3076</v>
      </c>
    </row>
    <row r="38" spans="1:22" x14ac:dyDescent="0.25">
      <c r="A38">
        <v>261732</v>
      </c>
      <c r="B38" s="1">
        <v>44542</v>
      </c>
      <c r="C38">
        <v>12</v>
      </c>
      <c r="D38" t="s">
        <v>19</v>
      </c>
      <c r="E38">
        <v>2021</v>
      </c>
      <c r="F38">
        <v>34</v>
      </c>
      <c r="G38" t="s">
        <v>33</v>
      </c>
      <c r="H38" t="s">
        <v>27</v>
      </c>
      <c r="I38" t="s">
        <v>34</v>
      </c>
      <c r="J38" t="s">
        <v>35</v>
      </c>
      <c r="K38" t="s">
        <v>24</v>
      </c>
      <c r="L38" t="s">
        <v>25</v>
      </c>
      <c r="M38" t="s">
        <v>39</v>
      </c>
      <c r="N38" t="s">
        <v>78</v>
      </c>
      <c r="O38" t="s">
        <v>79</v>
      </c>
      <c r="P38" t="s">
        <v>84</v>
      </c>
      <c r="Q38">
        <v>2</v>
      </c>
      <c r="R38">
        <v>1252</v>
      </c>
      <c r="S38">
        <v>2295</v>
      </c>
      <c r="T38">
        <v>2086</v>
      </c>
      <c r="U38">
        <v>2504</v>
      </c>
      <c r="V38">
        <v>4590</v>
      </c>
    </row>
    <row r="39" spans="1:22" x14ac:dyDescent="0.25">
      <c r="A39">
        <v>261733</v>
      </c>
      <c r="B39" s="1">
        <v>44542</v>
      </c>
      <c r="C39">
        <v>12</v>
      </c>
      <c r="D39" t="s">
        <v>19</v>
      </c>
      <c r="E39">
        <v>2021</v>
      </c>
      <c r="F39">
        <v>35</v>
      </c>
      <c r="G39" t="s">
        <v>20</v>
      </c>
      <c r="H39" t="s">
        <v>21</v>
      </c>
      <c r="I39" t="s">
        <v>34</v>
      </c>
      <c r="J39" t="s">
        <v>53</v>
      </c>
      <c r="K39" t="s">
        <v>24</v>
      </c>
      <c r="L39" t="s">
        <v>25</v>
      </c>
      <c r="M39" t="s">
        <v>30</v>
      </c>
      <c r="N39" t="s">
        <v>78</v>
      </c>
      <c r="O39" t="s">
        <v>81</v>
      </c>
      <c r="P39" t="s">
        <v>82</v>
      </c>
      <c r="Q39">
        <v>1</v>
      </c>
      <c r="R39">
        <v>1266</v>
      </c>
      <c r="S39">
        <v>2320</v>
      </c>
      <c r="T39">
        <v>1054</v>
      </c>
      <c r="U39">
        <v>1266</v>
      </c>
      <c r="V39">
        <v>2320</v>
      </c>
    </row>
    <row r="40" spans="1:22" x14ac:dyDescent="0.25">
      <c r="A40">
        <v>261734</v>
      </c>
      <c r="B40" s="1">
        <v>44542</v>
      </c>
      <c r="C40">
        <v>12</v>
      </c>
      <c r="D40" t="s">
        <v>19</v>
      </c>
      <c r="E40">
        <v>2021</v>
      </c>
      <c r="F40">
        <v>38</v>
      </c>
      <c r="G40" t="s">
        <v>20</v>
      </c>
      <c r="H40" t="s">
        <v>21</v>
      </c>
      <c r="I40" t="s">
        <v>22</v>
      </c>
      <c r="J40" t="s">
        <v>41</v>
      </c>
      <c r="K40" t="s">
        <v>24</v>
      </c>
      <c r="L40" t="s">
        <v>25</v>
      </c>
      <c r="M40" t="s">
        <v>30</v>
      </c>
      <c r="N40" t="s">
        <v>78</v>
      </c>
      <c r="O40" t="s">
        <v>81</v>
      </c>
      <c r="P40" t="s">
        <v>82</v>
      </c>
      <c r="Q40">
        <v>1</v>
      </c>
      <c r="R40">
        <v>1266</v>
      </c>
      <c r="S40">
        <v>2320</v>
      </c>
      <c r="T40">
        <v>1054</v>
      </c>
      <c r="U40">
        <v>1266</v>
      </c>
      <c r="V40">
        <v>2320</v>
      </c>
    </row>
    <row r="41" spans="1:22" x14ac:dyDescent="0.25">
      <c r="A41">
        <v>261735</v>
      </c>
      <c r="B41" s="1">
        <v>44543</v>
      </c>
      <c r="C41">
        <v>13</v>
      </c>
      <c r="D41" t="s">
        <v>19</v>
      </c>
      <c r="E41">
        <v>2021</v>
      </c>
      <c r="F41">
        <v>32</v>
      </c>
      <c r="G41" t="s">
        <v>33</v>
      </c>
      <c r="H41" t="s">
        <v>21</v>
      </c>
      <c r="I41" t="s">
        <v>34</v>
      </c>
      <c r="J41" t="s">
        <v>44</v>
      </c>
      <c r="K41" t="s">
        <v>24</v>
      </c>
      <c r="L41" t="s">
        <v>25</v>
      </c>
      <c r="M41" t="s">
        <v>30</v>
      </c>
      <c r="N41" t="s">
        <v>78</v>
      </c>
      <c r="O41" t="s">
        <v>81</v>
      </c>
      <c r="P41" t="s">
        <v>82</v>
      </c>
      <c r="Q41">
        <v>3</v>
      </c>
      <c r="R41">
        <v>1266</v>
      </c>
      <c r="S41">
        <v>2320</v>
      </c>
      <c r="T41">
        <v>3162</v>
      </c>
      <c r="U41">
        <v>3798</v>
      </c>
      <c r="V41">
        <v>6960</v>
      </c>
    </row>
    <row r="42" spans="1:22" x14ac:dyDescent="0.25">
      <c r="A42">
        <v>261736</v>
      </c>
      <c r="B42" s="1">
        <v>44543</v>
      </c>
      <c r="C42">
        <v>13</v>
      </c>
      <c r="D42" t="s">
        <v>19</v>
      </c>
      <c r="E42">
        <v>2021</v>
      </c>
      <c r="F42">
        <v>40</v>
      </c>
      <c r="G42" t="s">
        <v>20</v>
      </c>
      <c r="H42" t="s">
        <v>21</v>
      </c>
      <c r="I42" t="s">
        <v>22</v>
      </c>
      <c r="J42" t="s">
        <v>23</v>
      </c>
      <c r="K42" t="s">
        <v>24</v>
      </c>
      <c r="L42" t="s">
        <v>25</v>
      </c>
      <c r="M42" t="s">
        <v>60</v>
      </c>
      <c r="N42" t="s">
        <v>85</v>
      </c>
      <c r="O42" t="s">
        <v>81</v>
      </c>
      <c r="P42" t="s">
        <v>87</v>
      </c>
      <c r="Q42">
        <v>1</v>
      </c>
      <c r="R42">
        <v>308</v>
      </c>
      <c r="S42">
        <v>565</v>
      </c>
      <c r="T42">
        <v>257</v>
      </c>
      <c r="U42">
        <v>308</v>
      </c>
      <c r="V42">
        <v>565</v>
      </c>
    </row>
    <row r="43" spans="1:22" x14ac:dyDescent="0.25">
      <c r="A43">
        <v>261737</v>
      </c>
      <c r="B43" s="1">
        <v>44543</v>
      </c>
      <c r="C43">
        <v>13</v>
      </c>
      <c r="D43" t="s">
        <v>19</v>
      </c>
      <c r="E43">
        <v>2021</v>
      </c>
      <c r="F43">
        <v>44</v>
      </c>
      <c r="G43" t="s">
        <v>20</v>
      </c>
      <c r="H43" t="s">
        <v>21</v>
      </c>
      <c r="I43" t="s">
        <v>28</v>
      </c>
      <c r="J43" t="s">
        <v>29</v>
      </c>
      <c r="K43" t="s">
        <v>24</v>
      </c>
      <c r="L43" t="s">
        <v>25</v>
      </c>
      <c r="M43" t="s">
        <v>39</v>
      </c>
      <c r="N43" t="s">
        <v>78</v>
      </c>
      <c r="O43" t="s">
        <v>79</v>
      </c>
      <c r="P43" t="s">
        <v>84</v>
      </c>
      <c r="Q43">
        <v>1</v>
      </c>
      <c r="R43">
        <v>1252</v>
      </c>
      <c r="S43">
        <v>2295</v>
      </c>
      <c r="T43">
        <v>1043</v>
      </c>
      <c r="U43">
        <v>1252</v>
      </c>
      <c r="V43">
        <v>2295</v>
      </c>
    </row>
    <row r="44" spans="1:22" x14ac:dyDescent="0.25">
      <c r="A44">
        <v>261738</v>
      </c>
      <c r="B44" s="1">
        <v>44543</v>
      </c>
      <c r="C44">
        <v>13</v>
      </c>
      <c r="D44" t="s">
        <v>19</v>
      </c>
      <c r="E44">
        <v>2021</v>
      </c>
      <c r="F44">
        <v>49</v>
      </c>
      <c r="G44" t="s">
        <v>20</v>
      </c>
      <c r="H44" t="s">
        <v>27</v>
      </c>
      <c r="I44" t="s">
        <v>28</v>
      </c>
      <c r="J44" t="s">
        <v>29</v>
      </c>
      <c r="K44" t="s">
        <v>24</v>
      </c>
      <c r="L44" t="s">
        <v>25</v>
      </c>
      <c r="M44" t="s">
        <v>39</v>
      </c>
      <c r="N44" t="s">
        <v>78</v>
      </c>
      <c r="O44" t="s">
        <v>79</v>
      </c>
      <c r="P44" t="s">
        <v>84</v>
      </c>
      <c r="Q44">
        <v>1</v>
      </c>
      <c r="R44">
        <v>1252</v>
      </c>
      <c r="S44">
        <v>2295</v>
      </c>
      <c r="T44">
        <v>1043</v>
      </c>
      <c r="U44">
        <v>1252</v>
      </c>
      <c r="V44">
        <v>2295</v>
      </c>
    </row>
    <row r="45" spans="1:22" x14ac:dyDescent="0.25">
      <c r="A45">
        <v>261739</v>
      </c>
      <c r="B45" s="1">
        <v>44544</v>
      </c>
      <c r="C45">
        <v>14</v>
      </c>
      <c r="D45" t="s">
        <v>19</v>
      </c>
      <c r="E45">
        <v>2021</v>
      </c>
      <c r="F45">
        <v>30</v>
      </c>
      <c r="G45" t="s">
        <v>33</v>
      </c>
      <c r="H45" t="s">
        <v>21</v>
      </c>
      <c r="I45" t="s">
        <v>22</v>
      </c>
      <c r="J45" t="s">
        <v>41</v>
      </c>
      <c r="K45" t="s">
        <v>24</v>
      </c>
      <c r="L45" t="s">
        <v>25</v>
      </c>
      <c r="M45" t="s">
        <v>45</v>
      </c>
      <c r="N45" t="s">
        <v>78</v>
      </c>
      <c r="O45" t="s">
        <v>81</v>
      </c>
      <c r="P45" t="s">
        <v>84</v>
      </c>
      <c r="Q45">
        <v>2</v>
      </c>
      <c r="R45">
        <v>1266</v>
      </c>
      <c r="S45">
        <v>2320</v>
      </c>
      <c r="T45">
        <v>2108</v>
      </c>
      <c r="U45">
        <v>2532</v>
      </c>
      <c r="V45">
        <v>4640</v>
      </c>
    </row>
    <row r="46" spans="1:22" x14ac:dyDescent="0.25">
      <c r="A46">
        <v>261740</v>
      </c>
      <c r="B46" s="1">
        <v>44544</v>
      </c>
      <c r="C46">
        <v>14</v>
      </c>
      <c r="D46" t="s">
        <v>19</v>
      </c>
      <c r="E46">
        <v>2021</v>
      </c>
      <c r="F46">
        <v>32</v>
      </c>
      <c r="G46" t="s">
        <v>33</v>
      </c>
      <c r="H46" t="s">
        <v>27</v>
      </c>
      <c r="I46" t="s">
        <v>22</v>
      </c>
      <c r="J46" t="s">
        <v>23</v>
      </c>
      <c r="K46" t="s">
        <v>24</v>
      </c>
      <c r="L46" t="s">
        <v>25</v>
      </c>
      <c r="M46" t="s">
        <v>26</v>
      </c>
      <c r="N46" t="s">
        <v>78</v>
      </c>
      <c r="O46" t="s">
        <v>79</v>
      </c>
      <c r="P46" t="s">
        <v>80</v>
      </c>
      <c r="Q46">
        <v>1</v>
      </c>
      <c r="R46">
        <v>1252</v>
      </c>
      <c r="S46">
        <v>2295</v>
      </c>
      <c r="T46">
        <v>1043</v>
      </c>
      <c r="U46">
        <v>1252</v>
      </c>
      <c r="V46">
        <v>2295</v>
      </c>
    </row>
    <row r="47" spans="1:22" x14ac:dyDescent="0.25">
      <c r="A47">
        <v>261741</v>
      </c>
      <c r="B47" s="1">
        <v>44544</v>
      </c>
      <c r="C47">
        <v>14</v>
      </c>
      <c r="D47" t="s">
        <v>19</v>
      </c>
      <c r="E47">
        <v>2021</v>
      </c>
      <c r="F47">
        <v>32</v>
      </c>
      <c r="G47" t="s">
        <v>33</v>
      </c>
      <c r="H47" t="s">
        <v>21</v>
      </c>
      <c r="I47" t="s">
        <v>34</v>
      </c>
      <c r="J47" t="s">
        <v>53</v>
      </c>
      <c r="K47" t="s">
        <v>24</v>
      </c>
      <c r="L47" t="s">
        <v>25</v>
      </c>
      <c r="M47" t="s">
        <v>32</v>
      </c>
      <c r="N47" t="s">
        <v>83</v>
      </c>
      <c r="O47" t="s">
        <v>81</v>
      </c>
      <c r="P47" t="s">
        <v>80</v>
      </c>
      <c r="Q47">
        <v>1</v>
      </c>
      <c r="R47">
        <v>420</v>
      </c>
      <c r="S47">
        <v>769</v>
      </c>
      <c r="T47">
        <v>349</v>
      </c>
      <c r="U47">
        <v>420</v>
      </c>
      <c r="V47">
        <v>769</v>
      </c>
    </row>
    <row r="48" spans="1:22" x14ac:dyDescent="0.25">
      <c r="A48">
        <v>261742</v>
      </c>
      <c r="B48" s="1">
        <v>44545</v>
      </c>
      <c r="C48">
        <v>15</v>
      </c>
      <c r="D48" t="s">
        <v>19</v>
      </c>
      <c r="E48">
        <v>2021</v>
      </c>
      <c r="F48">
        <v>29</v>
      </c>
      <c r="G48" t="s">
        <v>33</v>
      </c>
      <c r="H48" t="s">
        <v>21</v>
      </c>
      <c r="I48" t="s">
        <v>22</v>
      </c>
      <c r="J48" t="s">
        <v>23</v>
      </c>
      <c r="K48" t="s">
        <v>24</v>
      </c>
      <c r="L48" t="s">
        <v>25</v>
      </c>
      <c r="M48" t="s">
        <v>30</v>
      </c>
      <c r="N48" t="s">
        <v>78</v>
      </c>
      <c r="O48" t="s">
        <v>81</v>
      </c>
      <c r="P48" t="s">
        <v>82</v>
      </c>
      <c r="Q48">
        <v>1</v>
      </c>
      <c r="R48">
        <v>1266</v>
      </c>
      <c r="S48">
        <v>2320</v>
      </c>
      <c r="T48">
        <v>1054</v>
      </c>
      <c r="U48">
        <v>1266</v>
      </c>
      <c r="V48">
        <v>2320</v>
      </c>
    </row>
    <row r="49" spans="1:22" x14ac:dyDescent="0.25">
      <c r="A49">
        <v>261743</v>
      </c>
      <c r="B49" s="1">
        <v>44546</v>
      </c>
      <c r="C49">
        <v>16</v>
      </c>
      <c r="D49" t="s">
        <v>19</v>
      </c>
      <c r="E49">
        <v>2021</v>
      </c>
      <c r="F49">
        <v>33</v>
      </c>
      <c r="G49" t="s">
        <v>33</v>
      </c>
      <c r="H49" t="s">
        <v>21</v>
      </c>
      <c r="I49" t="s">
        <v>34</v>
      </c>
      <c r="J49" t="s">
        <v>35</v>
      </c>
      <c r="K49" t="s">
        <v>24</v>
      </c>
      <c r="L49" t="s">
        <v>25</v>
      </c>
      <c r="M49" t="s">
        <v>39</v>
      </c>
      <c r="N49" t="s">
        <v>78</v>
      </c>
      <c r="O49" t="s">
        <v>79</v>
      </c>
      <c r="P49" t="s">
        <v>84</v>
      </c>
      <c r="Q49">
        <v>2</v>
      </c>
      <c r="R49">
        <v>1252</v>
      </c>
      <c r="S49">
        <v>2295</v>
      </c>
      <c r="T49">
        <v>2086</v>
      </c>
      <c r="U49">
        <v>2504</v>
      </c>
      <c r="V49">
        <v>4590</v>
      </c>
    </row>
    <row r="50" spans="1:22" x14ac:dyDescent="0.25">
      <c r="A50">
        <v>261744</v>
      </c>
      <c r="B50" s="1">
        <v>44546</v>
      </c>
      <c r="C50">
        <v>16</v>
      </c>
      <c r="D50" t="s">
        <v>19</v>
      </c>
      <c r="E50">
        <v>2021</v>
      </c>
      <c r="F50">
        <v>38</v>
      </c>
      <c r="G50" t="s">
        <v>20</v>
      </c>
      <c r="H50" t="s">
        <v>27</v>
      </c>
      <c r="I50" t="s">
        <v>34</v>
      </c>
      <c r="J50" t="s">
        <v>35</v>
      </c>
      <c r="K50" t="s">
        <v>24</v>
      </c>
      <c r="L50" t="s">
        <v>25</v>
      </c>
      <c r="M50" t="s">
        <v>39</v>
      </c>
      <c r="N50" t="s">
        <v>78</v>
      </c>
      <c r="O50" t="s">
        <v>79</v>
      </c>
      <c r="P50" t="s">
        <v>84</v>
      </c>
      <c r="Q50">
        <v>2</v>
      </c>
      <c r="R50">
        <v>1252</v>
      </c>
      <c r="S50">
        <v>2295</v>
      </c>
      <c r="T50">
        <v>2086</v>
      </c>
      <c r="U50">
        <v>2504</v>
      </c>
      <c r="V50">
        <v>4590</v>
      </c>
    </row>
    <row r="51" spans="1:22" x14ac:dyDescent="0.25">
      <c r="A51">
        <v>261745</v>
      </c>
      <c r="B51" s="1">
        <v>44546</v>
      </c>
      <c r="C51">
        <v>16</v>
      </c>
      <c r="D51" t="s">
        <v>19</v>
      </c>
      <c r="E51">
        <v>2021</v>
      </c>
      <c r="F51">
        <v>27</v>
      </c>
      <c r="G51" t="s">
        <v>33</v>
      </c>
      <c r="H51" t="s">
        <v>21</v>
      </c>
      <c r="I51" t="s">
        <v>58</v>
      </c>
      <c r="J51" t="s">
        <v>61</v>
      </c>
      <c r="K51" t="s">
        <v>24</v>
      </c>
      <c r="L51" t="s">
        <v>25</v>
      </c>
      <c r="M51" t="s">
        <v>62</v>
      </c>
      <c r="N51" t="s">
        <v>78</v>
      </c>
      <c r="O51" t="s">
        <v>81</v>
      </c>
      <c r="P51" t="s">
        <v>80</v>
      </c>
      <c r="Q51">
        <v>1</v>
      </c>
      <c r="R51">
        <v>1266</v>
      </c>
      <c r="S51">
        <v>2320</v>
      </c>
      <c r="T51">
        <v>1054</v>
      </c>
      <c r="U51">
        <v>1266</v>
      </c>
      <c r="V51">
        <v>2320</v>
      </c>
    </row>
    <row r="52" spans="1:22" x14ac:dyDescent="0.25">
      <c r="A52">
        <v>261746</v>
      </c>
      <c r="B52" s="1">
        <v>44547</v>
      </c>
      <c r="C52">
        <v>17</v>
      </c>
      <c r="D52" t="s">
        <v>19</v>
      </c>
      <c r="E52">
        <v>2021</v>
      </c>
      <c r="F52">
        <v>37</v>
      </c>
      <c r="G52" t="s">
        <v>20</v>
      </c>
      <c r="H52" t="s">
        <v>21</v>
      </c>
      <c r="I52" t="s">
        <v>22</v>
      </c>
      <c r="J52" t="s">
        <v>41</v>
      </c>
      <c r="K52" t="s">
        <v>24</v>
      </c>
      <c r="L52" t="s">
        <v>25</v>
      </c>
      <c r="M52" t="s">
        <v>45</v>
      </c>
      <c r="N52" t="s">
        <v>78</v>
      </c>
      <c r="O52" t="s">
        <v>81</v>
      </c>
      <c r="P52" t="s">
        <v>84</v>
      </c>
      <c r="Q52">
        <v>2</v>
      </c>
      <c r="R52">
        <v>1266</v>
      </c>
      <c r="S52">
        <v>2320</v>
      </c>
      <c r="T52">
        <v>2108</v>
      </c>
      <c r="U52">
        <v>2532</v>
      </c>
      <c r="V52">
        <v>4640</v>
      </c>
    </row>
    <row r="53" spans="1:22" x14ac:dyDescent="0.25">
      <c r="A53">
        <v>261747</v>
      </c>
      <c r="B53" s="1">
        <v>44547</v>
      </c>
      <c r="C53">
        <v>17</v>
      </c>
      <c r="D53" t="s">
        <v>19</v>
      </c>
      <c r="E53">
        <v>2021</v>
      </c>
      <c r="F53">
        <v>31</v>
      </c>
      <c r="G53" t="s">
        <v>33</v>
      </c>
      <c r="H53" t="s">
        <v>27</v>
      </c>
      <c r="I53" t="s">
        <v>34</v>
      </c>
      <c r="J53" t="s">
        <v>35</v>
      </c>
      <c r="K53" t="s">
        <v>24</v>
      </c>
      <c r="L53" t="s">
        <v>25</v>
      </c>
      <c r="M53" t="s">
        <v>36</v>
      </c>
      <c r="N53" t="s">
        <v>83</v>
      </c>
      <c r="O53" t="s">
        <v>81</v>
      </c>
      <c r="P53" t="s">
        <v>82</v>
      </c>
      <c r="Q53">
        <v>1</v>
      </c>
      <c r="R53">
        <v>420</v>
      </c>
      <c r="S53">
        <v>769</v>
      </c>
      <c r="T53">
        <v>349</v>
      </c>
      <c r="U53">
        <v>420</v>
      </c>
      <c r="V53">
        <v>769</v>
      </c>
    </row>
    <row r="54" spans="1:22" x14ac:dyDescent="0.25">
      <c r="A54">
        <v>261748</v>
      </c>
      <c r="B54" s="1">
        <v>44547</v>
      </c>
      <c r="C54">
        <v>17</v>
      </c>
      <c r="D54" t="s">
        <v>19</v>
      </c>
      <c r="E54">
        <v>2021</v>
      </c>
      <c r="F54">
        <v>42</v>
      </c>
      <c r="G54" t="s">
        <v>20</v>
      </c>
      <c r="H54" t="s">
        <v>21</v>
      </c>
      <c r="I54" t="s">
        <v>42</v>
      </c>
      <c r="J54" t="s">
        <v>43</v>
      </c>
      <c r="K54" t="s">
        <v>24</v>
      </c>
      <c r="L54" t="s">
        <v>25</v>
      </c>
      <c r="M54" t="s">
        <v>62</v>
      </c>
      <c r="N54" t="s">
        <v>78</v>
      </c>
      <c r="O54" t="s">
        <v>81</v>
      </c>
      <c r="P54" t="s">
        <v>80</v>
      </c>
      <c r="Q54">
        <v>1</v>
      </c>
      <c r="R54">
        <v>1266</v>
      </c>
      <c r="S54">
        <v>2320</v>
      </c>
      <c r="T54">
        <v>1054</v>
      </c>
      <c r="U54">
        <v>1266</v>
      </c>
      <c r="V54">
        <v>2320</v>
      </c>
    </row>
    <row r="55" spans="1:22" x14ac:dyDescent="0.25">
      <c r="A55">
        <v>261749</v>
      </c>
      <c r="B55" s="1">
        <v>44548</v>
      </c>
      <c r="C55">
        <v>18</v>
      </c>
      <c r="D55" t="s">
        <v>19</v>
      </c>
      <c r="E55">
        <v>2021</v>
      </c>
      <c r="F55">
        <v>35</v>
      </c>
      <c r="G55" t="s">
        <v>20</v>
      </c>
      <c r="H55" t="s">
        <v>21</v>
      </c>
      <c r="I55" t="s">
        <v>34</v>
      </c>
      <c r="J55" t="s">
        <v>35</v>
      </c>
      <c r="K55" t="s">
        <v>24</v>
      </c>
      <c r="L55" t="s">
        <v>25</v>
      </c>
      <c r="M55" t="s">
        <v>51</v>
      </c>
      <c r="N55" t="s">
        <v>85</v>
      </c>
      <c r="O55" t="s">
        <v>81</v>
      </c>
      <c r="P55" t="s">
        <v>82</v>
      </c>
      <c r="Q55">
        <v>4</v>
      </c>
      <c r="R55">
        <v>308</v>
      </c>
      <c r="S55">
        <v>565</v>
      </c>
      <c r="T55">
        <v>1028</v>
      </c>
      <c r="U55">
        <v>1232</v>
      </c>
      <c r="V55">
        <v>2260</v>
      </c>
    </row>
    <row r="56" spans="1:22" x14ac:dyDescent="0.25">
      <c r="A56">
        <v>261750</v>
      </c>
      <c r="B56" s="1">
        <v>44548</v>
      </c>
      <c r="C56">
        <v>18</v>
      </c>
      <c r="D56" t="s">
        <v>19</v>
      </c>
      <c r="E56">
        <v>2021</v>
      </c>
      <c r="F56">
        <v>38</v>
      </c>
      <c r="G56" t="s">
        <v>20</v>
      </c>
      <c r="H56" t="s">
        <v>21</v>
      </c>
      <c r="I56" t="s">
        <v>42</v>
      </c>
      <c r="J56" t="s">
        <v>43</v>
      </c>
      <c r="K56" t="s">
        <v>24</v>
      </c>
      <c r="L56" t="s">
        <v>25</v>
      </c>
      <c r="M56" t="s">
        <v>62</v>
      </c>
      <c r="N56" t="s">
        <v>78</v>
      </c>
      <c r="O56" t="s">
        <v>81</v>
      </c>
      <c r="P56" t="s">
        <v>80</v>
      </c>
      <c r="Q56">
        <v>4</v>
      </c>
      <c r="R56">
        <v>1266</v>
      </c>
      <c r="S56">
        <v>2320</v>
      </c>
      <c r="T56">
        <v>4216</v>
      </c>
      <c r="U56">
        <v>5064</v>
      </c>
      <c r="V56">
        <v>9280</v>
      </c>
    </row>
    <row r="57" spans="1:22" x14ac:dyDescent="0.25">
      <c r="A57">
        <v>261751</v>
      </c>
      <c r="B57" s="1">
        <v>44548</v>
      </c>
      <c r="C57">
        <v>18</v>
      </c>
      <c r="D57" t="s">
        <v>19</v>
      </c>
      <c r="E57">
        <v>2021</v>
      </c>
      <c r="F57">
        <v>24</v>
      </c>
      <c r="G57" t="s">
        <v>38</v>
      </c>
      <c r="H57" t="s">
        <v>21</v>
      </c>
      <c r="I57" t="s">
        <v>58</v>
      </c>
      <c r="J57" t="s">
        <v>63</v>
      </c>
      <c r="K57" t="s">
        <v>24</v>
      </c>
      <c r="L57" t="s">
        <v>25</v>
      </c>
      <c r="M57" t="s">
        <v>45</v>
      </c>
      <c r="N57" t="s">
        <v>78</v>
      </c>
      <c r="O57" t="s">
        <v>81</v>
      </c>
      <c r="P57" t="s">
        <v>84</v>
      </c>
      <c r="Q57">
        <v>3</v>
      </c>
      <c r="R57">
        <v>1266</v>
      </c>
      <c r="S57">
        <v>2320</v>
      </c>
      <c r="T57">
        <v>3162</v>
      </c>
      <c r="U57">
        <v>3798</v>
      </c>
      <c r="V57">
        <v>6960</v>
      </c>
    </row>
    <row r="58" spans="1:22" x14ac:dyDescent="0.25">
      <c r="A58">
        <v>261752</v>
      </c>
      <c r="B58" s="1">
        <v>44548</v>
      </c>
      <c r="C58">
        <v>18</v>
      </c>
      <c r="D58" t="s">
        <v>19</v>
      </c>
      <c r="E58">
        <v>2021</v>
      </c>
      <c r="F58">
        <v>26</v>
      </c>
      <c r="G58" t="s">
        <v>33</v>
      </c>
      <c r="H58" t="s">
        <v>21</v>
      </c>
      <c r="I58" t="s">
        <v>28</v>
      </c>
      <c r="J58" t="s">
        <v>29</v>
      </c>
      <c r="K58" t="s">
        <v>24</v>
      </c>
      <c r="L58" t="s">
        <v>25</v>
      </c>
      <c r="M58" t="s">
        <v>36</v>
      </c>
      <c r="N58" t="s">
        <v>83</v>
      </c>
      <c r="O58" t="s">
        <v>81</v>
      </c>
      <c r="P58" t="s">
        <v>82</v>
      </c>
      <c r="Q58">
        <v>3</v>
      </c>
      <c r="R58">
        <v>420</v>
      </c>
      <c r="S58">
        <v>769</v>
      </c>
      <c r="T58">
        <v>1047</v>
      </c>
      <c r="U58">
        <v>1260</v>
      </c>
      <c r="V58">
        <v>2307</v>
      </c>
    </row>
    <row r="59" spans="1:22" x14ac:dyDescent="0.25">
      <c r="A59">
        <v>261753</v>
      </c>
      <c r="B59" s="1">
        <v>44548</v>
      </c>
      <c r="C59">
        <v>18</v>
      </c>
      <c r="D59" t="s">
        <v>19</v>
      </c>
      <c r="E59">
        <v>2021</v>
      </c>
      <c r="F59">
        <v>39</v>
      </c>
      <c r="G59" t="s">
        <v>20</v>
      </c>
      <c r="H59" t="s">
        <v>27</v>
      </c>
      <c r="I59" t="s">
        <v>22</v>
      </c>
      <c r="J59" t="s">
        <v>23</v>
      </c>
      <c r="K59" t="s">
        <v>24</v>
      </c>
      <c r="L59" t="s">
        <v>25</v>
      </c>
      <c r="M59" t="s">
        <v>48</v>
      </c>
      <c r="N59" t="s">
        <v>78</v>
      </c>
      <c r="O59" t="s">
        <v>79</v>
      </c>
      <c r="P59" t="s">
        <v>82</v>
      </c>
      <c r="Q59">
        <v>3</v>
      </c>
      <c r="R59">
        <v>1252</v>
      </c>
      <c r="S59">
        <v>2295</v>
      </c>
      <c r="T59">
        <v>3129</v>
      </c>
      <c r="U59">
        <v>3756</v>
      </c>
      <c r="V59">
        <v>6885</v>
      </c>
    </row>
    <row r="60" spans="1:22" x14ac:dyDescent="0.25">
      <c r="A60">
        <v>261754</v>
      </c>
      <c r="B60" s="1">
        <v>44548</v>
      </c>
      <c r="C60">
        <v>18</v>
      </c>
      <c r="D60" t="s">
        <v>19</v>
      </c>
      <c r="E60">
        <v>2021</v>
      </c>
      <c r="F60">
        <v>26</v>
      </c>
      <c r="G60" t="s">
        <v>33</v>
      </c>
      <c r="H60" t="s">
        <v>27</v>
      </c>
      <c r="I60" t="s">
        <v>58</v>
      </c>
      <c r="J60" t="s">
        <v>59</v>
      </c>
      <c r="K60" t="s">
        <v>24</v>
      </c>
      <c r="L60" t="s">
        <v>25</v>
      </c>
      <c r="M60" t="s">
        <v>26</v>
      </c>
      <c r="N60" t="s">
        <v>78</v>
      </c>
      <c r="O60" t="s">
        <v>79</v>
      </c>
      <c r="P60" t="s">
        <v>80</v>
      </c>
      <c r="Q60">
        <v>1</v>
      </c>
      <c r="R60">
        <v>1252</v>
      </c>
      <c r="S60">
        <v>2295</v>
      </c>
      <c r="T60">
        <v>1043</v>
      </c>
      <c r="U60">
        <v>1252</v>
      </c>
      <c r="V60">
        <v>2295</v>
      </c>
    </row>
    <row r="61" spans="1:22" x14ac:dyDescent="0.25">
      <c r="A61">
        <v>261755</v>
      </c>
      <c r="B61" s="1">
        <v>44548</v>
      </c>
      <c r="C61">
        <v>18</v>
      </c>
      <c r="D61" t="s">
        <v>19</v>
      </c>
      <c r="E61">
        <v>2021</v>
      </c>
      <c r="F61">
        <v>36</v>
      </c>
      <c r="G61" t="s">
        <v>20</v>
      </c>
      <c r="H61" t="s">
        <v>27</v>
      </c>
      <c r="I61" t="s">
        <v>22</v>
      </c>
      <c r="J61" t="s">
        <v>41</v>
      </c>
      <c r="K61" t="s">
        <v>24</v>
      </c>
      <c r="L61" t="s">
        <v>25</v>
      </c>
      <c r="M61" t="s">
        <v>45</v>
      </c>
      <c r="N61" t="s">
        <v>78</v>
      </c>
      <c r="O61" t="s">
        <v>81</v>
      </c>
      <c r="P61" t="s">
        <v>84</v>
      </c>
      <c r="Q61">
        <v>1</v>
      </c>
      <c r="R61">
        <v>1266</v>
      </c>
      <c r="S61">
        <v>2320</v>
      </c>
      <c r="T61">
        <v>1054</v>
      </c>
      <c r="U61">
        <v>1266</v>
      </c>
      <c r="V61">
        <v>2320</v>
      </c>
    </row>
    <row r="62" spans="1:22" x14ac:dyDescent="0.25">
      <c r="A62">
        <v>261756</v>
      </c>
      <c r="B62" s="1">
        <v>44549</v>
      </c>
      <c r="C62">
        <v>19</v>
      </c>
      <c r="D62" t="s">
        <v>19</v>
      </c>
      <c r="E62">
        <v>2021</v>
      </c>
      <c r="F62">
        <v>17</v>
      </c>
      <c r="G62" t="s">
        <v>38</v>
      </c>
      <c r="H62" t="s">
        <v>27</v>
      </c>
      <c r="I62" t="s">
        <v>58</v>
      </c>
      <c r="J62" t="s">
        <v>64</v>
      </c>
      <c r="K62" t="s">
        <v>24</v>
      </c>
      <c r="L62" t="s">
        <v>25</v>
      </c>
      <c r="M62" t="s">
        <v>62</v>
      </c>
      <c r="N62" t="s">
        <v>78</v>
      </c>
      <c r="O62" t="s">
        <v>81</v>
      </c>
      <c r="P62" t="s">
        <v>80</v>
      </c>
      <c r="Q62">
        <v>4</v>
      </c>
      <c r="R62">
        <v>1266</v>
      </c>
      <c r="S62">
        <v>2320</v>
      </c>
      <c r="T62">
        <v>4216</v>
      </c>
      <c r="U62">
        <v>5064</v>
      </c>
      <c r="V62">
        <v>9280</v>
      </c>
    </row>
    <row r="63" spans="1:22" x14ac:dyDescent="0.25">
      <c r="A63">
        <v>261757</v>
      </c>
      <c r="B63" s="1">
        <v>44549</v>
      </c>
      <c r="C63">
        <v>19</v>
      </c>
      <c r="D63" t="s">
        <v>19</v>
      </c>
      <c r="E63">
        <v>2021</v>
      </c>
      <c r="F63">
        <v>19</v>
      </c>
      <c r="G63" t="s">
        <v>38</v>
      </c>
      <c r="H63" t="s">
        <v>21</v>
      </c>
      <c r="I63" t="s">
        <v>34</v>
      </c>
      <c r="J63" t="s">
        <v>53</v>
      </c>
      <c r="K63" t="s">
        <v>24</v>
      </c>
      <c r="L63" t="s">
        <v>25</v>
      </c>
      <c r="M63" t="s">
        <v>65</v>
      </c>
      <c r="N63" t="s">
        <v>85</v>
      </c>
      <c r="O63" t="s">
        <v>79</v>
      </c>
      <c r="P63" t="s">
        <v>88</v>
      </c>
      <c r="Q63">
        <v>4</v>
      </c>
      <c r="R63">
        <v>295</v>
      </c>
      <c r="S63">
        <v>540</v>
      </c>
      <c r="T63">
        <v>980</v>
      </c>
      <c r="U63">
        <v>1180</v>
      </c>
      <c r="V63">
        <v>2160</v>
      </c>
    </row>
    <row r="64" spans="1:22" x14ac:dyDescent="0.25">
      <c r="A64">
        <v>261758</v>
      </c>
      <c r="B64" s="1">
        <v>44549</v>
      </c>
      <c r="C64">
        <v>19</v>
      </c>
      <c r="D64" t="s">
        <v>19</v>
      </c>
      <c r="E64">
        <v>2021</v>
      </c>
      <c r="F64">
        <v>25</v>
      </c>
      <c r="G64" t="s">
        <v>33</v>
      </c>
      <c r="H64" t="s">
        <v>27</v>
      </c>
      <c r="I64" t="s">
        <v>58</v>
      </c>
      <c r="J64" t="s">
        <v>59</v>
      </c>
      <c r="K64" t="s">
        <v>24</v>
      </c>
      <c r="L64" t="s">
        <v>25</v>
      </c>
      <c r="M64" t="s">
        <v>39</v>
      </c>
      <c r="N64" t="s">
        <v>78</v>
      </c>
      <c r="O64" t="s">
        <v>79</v>
      </c>
      <c r="P64" t="s">
        <v>84</v>
      </c>
      <c r="Q64">
        <v>4</v>
      </c>
      <c r="R64">
        <v>1252</v>
      </c>
      <c r="S64">
        <v>2295</v>
      </c>
      <c r="T64">
        <v>4172</v>
      </c>
      <c r="U64">
        <v>5008</v>
      </c>
      <c r="V64">
        <v>9180</v>
      </c>
    </row>
    <row r="65" spans="1:22" x14ac:dyDescent="0.25">
      <c r="A65">
        <v>261759</v>
      </c>
      <c r="B65" s="1">
        <v>44549</v>
      </c>
      <c r="C65">
        <v>19</v>
      </c>
      <c r="D65" t="s">
        <v>19</v>
      </c>
      <c r="E65">
        <v>2021</v>
      </c>
      <c r="F65">
        <v>35</v>
      </c>
      <c r="G65" t="s">
        <v>20</v>
      </c>
      <c r="H65" t="s">
        <v>21</v>
      </c>
      <c r="I65" t="s">
        <v>22</v>
      </c>
      <c r="J65" t="s">
        <v>52</v>
      </c>
      <c r="K65" t="s">
        <v>24</v>
      </c>
      <c r="L65" t="s">
        <v>25</v>
      </c>
      <c r="M65" t="s">
        <v>66</v>
      </c>
      <c r="N65" t="s">
        <v>86</v>
      </c>
      <c r="O65" t="s">
        <v>79</v>
      </c>
      <c r="P65" t="s">
        <v>89</v>
      </c>
      <c r="Q65">
        <v>4</v>
      </c>
      <c r="R65">
        <v>1898</v>
      </c>
      <c r="S65">
        <v>3375</v>
      </c>
      <c r="T65">
        <v>5908</v>
      </c>
      <c r="U65">
        <v>7592</v>
      </c>
      <c r="V65">
        <v>13500</v>
      </c>
    </row>
    <row r="66" spans="1:22" x14ac:dyDescent="0.25">
      <c r="A66">
        <v>261760</v>
      </c>
      <c r="B66" s="1">
        <v>44549</v>
      </c>
      <c r="C66">
        <v>19</v>
      </c>
      <c r="D66" t="s">
        <v>19</v>
      </c>
      <c r="E66">
        <v>2021</v>
      </c>
      <c r="F66">
        <v>37</v>
      </c>
      <c r="G66" t="s">
        <v>20</v>
      </c>
      <c r="H66" t="s">
        <v>27</v>
      </c>
      <c r="I66" t="s">
        <v>22</v>
      </c>
      <c r="J66" t="s">
        <v>52</v>
      </c>
      <c r="K66" t="s">
        <v>24</v>
      </c>
      <c r="L66" t="s">
        <v>25</v>
      </c>
      <c r="M66" t="s">
        <v>39</v>
      </c>
      <c r="N66" t="s">
        <v>78</v>
      </c>
      <c r="O66" t="s">
        <v>79</v>
      </c>
      <c r="P66" t="s">
        <v>84</v>
      </c>
      <c r="Q66">
        <v>4</v>
      </c>
      <c r="R66">
        <v>1252</v>
      </c>
      <c r="S66">
        <v>2295</v>
      </c>
      <c r="T66">
        <v>4172</v>
      </c>
      <c r="U66">
        <v>5008</v>
      </c>
      <c r="V66">
        <v>9180</v>
      </c>
    </row>
    <row r="67" spans="1:22" x14ac:dyDescent="0.25">
      <c r="A67">
        <v>261761</v>
      </c>
      <c r="B67" s="1">
        <v>44549</v>
      </c>
      <c r="C67">
        <v>19</v>
      </c>
      <c r="D67" t="s">
        <v>19</v>
      </c>
      <c r="E67">
        <v>2021</v>
      </c>
      <c r="F67">
        <v>39</v>
      </c>
      <c r="G67" t="s">
        <v>20</v>
      </c>
      <c r="H67" t="s">
        <v>21</v>
      </c>
      <c r="I67" t="s">
        <v>22</v>
      </c>
      <c r="J67" t="s">
        <v>23</v>
      </c>
      <c r="K67" t="s">
        <v>24</v>
      </c>
      <c r="L67" t="s">
        <v>25</v>
      </c>
      <c r="M67" t="s">
        <v>26</v>
      </c>
      <c r="N67" t="s">
        <v>78</v>
      </c>
      <c r="O67" t="s">
        <v>79</v>
      </c>
      <c r="P67" t="s">
        <v>80</v>
      </c>
      <c r="Q67">
        <v>4</v>
      </c>
      <c r="R67">
        <v>1252</v>
      </c>
      <c r="S67">
        <v>2295</v>
      </c>
      <c r="T67">
        <v>4172</v>
      </c>
      <c r="U67">
        <v>5008</v>
      </c>
      <c r="V67">
        <v>9180</v>
      </c>
    </row>
    <row r="68" spans="1:22" x14ac:dyDescent="0.25">
      <c r="A68">
        <v>261762</v>
      </c>
      <c r="B68" s="1">
        <v>44549</v>
      </c>
      <c r="C68">
        <v>19</v>
      </c>
      <c r="D68" t="s">
        <v>19</v>
      </c>
      <c r="E68">
        <v>2021</v>
      </c>
      <c r="F68">
        <v>63</v>
      </c>
      <c r="G68" t="s">
        <v>20</v>
      </c>
      <c r="H68" t="s">
        <v>21</v>
      </c>
      <c r="I68" t="s">
        <v>34</v>
      </c>
      <c r="J68" t="s">
        <v>44</v>
      </c>
      <c r="K68" t="s">
        <v>24</v>
      </c>
      <c r="L68" t="s">
        <v>25</v>
      </c>
      <c r="M68" t="s">
        <v>26</v>
      </c>
      <c r="N68" t="s">
        <v>78</v>
      </c>
      <c r="O68" t="s">
        <v>79</v>
      </c>
      <c r="P68" t="s">
        <v>80</v>
      </c>
      <c r="Q68">
        <v>4</v>
      </c>
      <c r="R68">
        <v>1252</v>
      </c>
      <c r="S68">
        <v>2295</v>
      </c>
      <c r="T68">
        <v>4172</v>
      </c>
      <c r="U68">
        <v>5008</v>
      </c>
      <c r="V68">
        <v>9180</v>
      </c>
    </row>
    <row r="69" spans="1:22" x14ac:dyDescent="0.25">
      <c r="A69">
        <v>261763</v>
      </c>
      <c r="B69" s="1">
        <v>44549</v>
      </c>
      <c r="C69">
        <v>19</v>
      </c>
      <c r="D69" t="s">
        <v>19</v>
      </c>
      <c r="E69">
        <v>2021</v>
      </c>
      <c r="F69">
        <v>18</v>
      </c>
      <c r="G69" t="s">
        <v>38</v>
      </c>
      <c r="H69" t="s">
        <v>27</v>
      </c>
      <c r="I69" t="s">
        <v>34</v>
      </c>
      <c r="J69" t="s">
        <v>67</v>
      </c>
      <c r="K69" t="s">
        <v>24</v>
      </c>
      <c r="L69" t="s">
        <v>25</v>
      </c>
      <c r="M69" t="s">
        <v>56</v>
      </c>
      <c r="N69" t="s">
        <v>85</v>
      </c>
      <c r="O69" t="s">
        <v>79</v>
      </c>
      <c r="P69" t="s">
        <v>87</v>
      </c>
      <c r="Q69">
        <v>2</v>
      </c>
      <c r="R69">
        <v>295</v>
      </c>
      <c r="S69">
        <v>540</v>
      </c>
      <c r="T69">
        <v>490</v>
      </c>
      <c r="U69">
        <v>590</v>
      </c>
      <c r="V69">
        <v>1080</v>
      </c>
    </row>
    <row r="70" spans="1:22" x14ac:dyDescent="0.25">
      <c r="A70">
        <v>261764</v>
      </c>
      <c r="B70" s="1">
        <v>44549</v>
      </c>
      <c r="C70">
        <v>19</v>
      </c>
      <c r="D70" t="s">
        <v>19</v>
      </c>
      <c r="E70">
        <v>2021</v>
      </c>
      <c r="F70">
        <v>56</v>
      </c>
      <c r="G70" t="s">
        <v>20</v>
      </c>
      <c r="H70" t="s">
        <v>21</v>
      </c>
      <c r="I70" t="s">
        <v>42</v>
      </c>
      <c r="J70" t="s">
        <v>68</v>
      </c>
      <c r="K70" t="s">
        <v>24</v>
      </c>
      <c r="L70" t="s">
        <v>25</v>
      </c>
      <c r="M70" t="s">
        <v>26</v>
      </c>
      <c r="N70" t="s">
        <v>78</v>
      </c>
      <c r="O70" t="s">
        <v>79</v>
      </c>
      <c r="P70" t="s">
        <v>80</v>
      </c>
      <c r="Q70">
        <v>2</v>
      </c>
      <c r="R70">
        <v>1252</v>
      </c>
      <c r="S70">
        <v>2295</v>
      </c>
      <c r="T70">
        <v>2086</v>
      </c>
      <c r="U70">
        <v>2504</v>
      </c>
      <c r="V70">
        <v>4590</v>
      </c>
    </row>
    <row r="71" spans="1:22" x14ac:dyDescent="0.25">
      <c r="A71">
        <v>261765</v>
      </c>
      <c r="B71" s="1">
        <v>44549</v>
      </c>
      <c r="C71">
        <v>19</v>
      </c>
      <c r="D71" t="s">
        <v>19</v>
      </c>
      <c r="E71">
        <v>2021</v>
      </c>
      <c r="F71">
        <v>39</v>
      </c>
      <c r="G71" t="s">
        <v>20</v>
      </c>
      <c r="H71" t="s">
        <v>21</v>
      </c>
      <c r="I71" t="s">
        <v>22</v>
      </c>
      <c r="J71" t="s">
        <v>41</v>
      </c>
      <c r="K71" t="s">
        <v>24</v>
      </c>
      <c r="L71" t="s">
        <v>25</v>
      </c>
      <c r="M71" t="s">
        <v>45</v>
      </c>
      <c r="N71" t="s">
        <v>78</v>
      </c>
      <c r="O71" t="s">
        <v>81</v>
      </c>
      <c r="P71" t="s">
        <v>84</v>
      </c>
      <c r="Q71">
        <v>1</v>
      </c>
      <c r="R71">
        <v>1266</v>
      </c>
      <c r="S71">
        <v>2320</v>
      </c>
      <c r="T71">
        <v>1054</v>
      </c>
      <c r="U71">
        <v>1266</v>
      </c>
      <c r="V71">
        <v>2320</v>
      </c>
    </row>
    <row r="72" spans="1:22" x14ac:dyDescent="0.25">
      <c r="A72">
        <v>261766</v>
      </c>
      <c r="B72" s="1">
        <v>44550</v>
      </c>
      <c r="C72">
        <v>20</v>
      </c>
      <c r="D72" t="s">
        <v>19</v>
      </c>
      <c r="E72">
        <v>2021</v>
      </c>
      <c r="F72">
        <v>33</v>
      </c>
      <c r="G72" t="s">
        <v>33</v>
      </c>
      <c r="H72" t="s">
        <v>21</v>
      </c>
      <c r="I72" t="s">
        <v>34</v>
      </c>
      <c r="J72" t="s">
        <v>53</v>
      </c>
      <c r="K72" t="s">
        <v>24</v>
      </c>
      <c r="L72" t="s">
        <v>25</v>
      </c>
      <c r="M72" t="s">
        <v>54</v>
      </c>
      <c r="N72" t="s">
        <v>86</v>
      </c>
      <c r="O72" t="s">
        <v>79</v>
      </c>
      <c r="P72" t="s">
        <v>84</v>
      </c>
      <c r="Q72">
        <v>4</v>
      </c>
      <c r="R72">
        <v>1898</v>
      </c>
      <c r="S72">
        <v>3375</v>
      </c>
      <c r="T72">
        <v>5908</v>
      </c>
      <c r="U72">
        <v>7592</v>
      </c>
      <c r="V72">
        <v>13500</v>
      </c>
    </row>
    <row r="73" spans="1:22" x14ac:dyDescent="0.25">
      <c r="A73">
        <v>261767</v>
      </c>
      <c r="B73" s="1">
        <v>44550</v>
      </c>
      <c r="C73">
        <v>20</v>
      </c>
      <c r="D73" t="s">
        <v>19</v>
      </c>
      <c r="E73">
        <v>2021</v>
      </c>
      <c r="F73">
        <v>57</v>
      </c>
      <c r="G73" t="s">
        <v>20</v>
      </c>
      <c r="H73" t="s">
        <v>27</v>
      </c>
      <c r="I73" t="s">
        <v>34</v>
      </c>
      <c r="J73" t="s">
        <v>44</v>
      </c>
      <c r="K73" t="s">
        <v>24</v>
      </c>
      <c r="L73" t="s">
        <v>25</v>
      </c>
      <c r="M73" t="s">
        <v>26</v>
      </c>
      <c r="N73" t="s">
        <v>78</v>
      </c>
      <c r="O73" t="s">
        <v>79</v>
      </c>
      <c r="P73" t="s">
        <v>80</v>
      </c>
      <c r="Q73">
        <v>4</v>
      </c>
      <c r="R73">
        <v>1252</v>
      </c>
      <c r="S73">
        <v>2295</v>
      </c>
      <c r="T73">
        <v>4172</v>
      </c>
      <c r="U73">
        <v>5008</v>
      </c>
      <c r="V73">
        <v>9180</v>
      </c>
    </row>
    <row r="74" spans="1:22" x14ac:dyDescent="0.25">
      <c r="A74">
        <v>261768</v>
      </c>
      <c r="B74" s="1">
        <v>44550</v>
      </c>
      <c r="C74">
        <v>20</v>
      </c>
      <c r="D74" t="s">
        <v>19</v>
      </c>
      <c r="E74">
        <v>2021</v>
      </c>
      <c r="F74">
        <v>29</v>
      </c>
      <c r="G74" t="s">
        <v>33</v>
      </c>
      <c r="H74" t="s">
        <v>27</v>
      </c>
      <c r="I74" t="s">
        <v>46</v>
      </c>
      <c r="J74" t="s">
        <v>47</v>
      </c>
      <c r="K74" t="s">
        <v>24</v>
      </c>
      <c r="L74" t="s">
        <v>25</v>
      </c>
      <c r="M74" t="s">
        <v>69</v>
      </c>
      <c r="N74" t="s">
        <v>85</v>
      </c>
      <c r="O74" t="s">
        <v>79</v>
      </c>
      <c r="P74" t="s">
        <v>90</v>
      </c>
      <c r="Q74">
        <v>3</v>
      </c>
      <c r="R74">
        <v>295</v>
      </c>
      <c r="S74">
        <v>540</v>
      </c>
      <c r="T74">
        <v>735</v>
      </c>
      <c r="U74">
        <v>885</v>
      </c>
      <c r="V74">
        <v>1620</v>
      </c>
    </row>
    <row r="75" spans="1:22" x14ac:dyDescent="0.25">
      <c r="A75">
        <v>261769</v>
      </c>
      <c r="B75" s="1">
        <v>44550</v>
      </c>
      <c r="C75">
        <v>20</v>
      </c>
      <c r="D75" t="s">
        <v>19</v>
      </c>
      <c r="E75">
        <v>2021</v>
      </c>
      <c r="F75">
        <v>35</v>
      </c>
      <c r="G75" t="s">
        <v>20</v>
      </c>
      <c r="H75" t="s">
        <v>21</v>
      </c>
      <c r="I75" t="s">
        <v>34</v>
      </c>
      <c r="J75" t="s">
        <v>44</v>
      </c>
      <c r="K75" t="s">
        <v>24</v>
      </c>
      <c r="L75" t="s">
        <v>25</v>
      </c>
      <c r="M75" t="s">
        <v>45</v>
      </c>
      <c r="N75" t="s">
        <v>78</v>
      </c>
      <c r="O75" t="s">
        <v>81</v>
      </c>
      <c r="P75" t="s">
        <v>84</v>
      </c>
      <c r="Q75">
        <v>1</v>
      </c>
      <c r="R75">
        <v>1266</v>
      </c>
      <c r="S75">
        <v>2320</v>
      </c>
      <c r="T75">
        <v>1054</v>
      </c>
      <c r="U75">
        <v>1266</v>
      </c>
      <c r="V75">
        <v>2320</v>
      </c>
    </row>
    <row r="76" spans="1:22" x14ac:dyDescent="0.25">
      <c r="A76">
        <v>261770</v>
      </c>
      <c r="B76" s="1">
        <v>44550</v>
      </c>
      <c r="C76">
        <v>20</v>
      </c>
      <c r="D76" t="s">
        <v>19</v>
      </c>
      <c r="E76">
        <v>2021</v>
      </c>
      <c r="F76">
        <v>35</v>
      </c>
      <c r="G76" t="s">
        <v>20</v>
      </c>
      <c r="H76" t="s">
        <v>27</v>
      </c>
      <c r="I76" t="s">
        <v>34</v>
      </c>
      <c r="J76" t="s">
        <v>53</v>
      </c>
      <c r="K76" t="s">
        <v>24</v>
      </c>
      <c r="L76" t="s">
        <v>25</v>
      </c>
      <c r="M76" t="s">
        <v>45</v>
      </c>
      <c r="N76" t="s">
        <v>78</v>
      </c>
      <c r="O76" t="s">
        <v>81</v>
      </c>
      <c r="P76" t="s">
        <v>84</v>
      </c>
      <c r="Q76">
        <v>1</v>
      </c>
      <c r="R76">
        <v>1266</v>
      </c>
      <c r="S76">
        <v>2320</v>
      </c>
      <c r="T76">
        <v>1054</v>
      </c>
      <c r="U76">
        <v>1266</v>
      </c>
      <c r="V76">
        <v>2320</v>
      </c>
    </row>
    <row r="77" spans="1:22" x14ac:dyDescent="0.25">
      <c r="A77">
        <v>261771</v>
      </c>
      <c r="B77" s="1">
        <v>44551</v>
      </c>
      <c r="C77">
        <v>21</v>
      </c>
      <c r="D77" t="s">
        <v>19</v>
      </c>
      <c r="E77">
        <v>2021</v>
      </c>
      <c r="F77">
        <v>26</v>
      </c>
      <c r="G77" t="s">
        <v>33</v>
      </c>
      <c r="H77" t="s">
        <v>27</v>
      </c>
      <c r="I77" t="s">
        <v>58</v>
      </c>
      <c r="J77" t="s">
        <v>70</v>
      </c>
      <c r="K77" t="s">
        <v>24</v>
      </c>
      <c r="L77" t="s">
        <v>25</v>
      </c>
      <c r="M77" t="s">
        <v>45</v>
      </c>
      <c r="N77" t="s">
        <v>78</v>
      </c>
      <c r="O77" t="s">
        <v>81</v>
      </c>
      <c r="P77" t="s">
        <v>84</v>
      </c>
      <c r="Q77">
        <v>3</v>
      </c>
      <c r="R77">
        <v>1266</v>
      </c>
      <c r="S77">
        <v>2320</v>
      </c>
      <c r="T77">
        <v>3162</v>
      </c>
      <c r="U77">
        <v>3798</v>
      </c>
      <c r="V77">
        <v>6960</v>
      </c>
    </row>
    <row r="78" spans="1:22" x14ac:dyDescent="0.25">
      <c r="A78">
        <v>261772</v>
      </c>
      <c r="B78" s="1">
        <v>44551</v>
      </c>
      <c r="C78">
        <v>21</v>
      </c>
      <c r="D78" t="s">
        <v>19</v>
      </c>
      <c r="E78">
        <v>2021</v>
      </c>
      <c r="F78">
        <v>23</v>
      </c>
      <c r="G78" t="s">
        <v>38</v>
      </c>
      <c r="H78" t="s">
        <v>27</v>
      </c>
      <c r="I78" t="s">
        <v>28</v>
      </c>
      <c r="J78" t="s">
        <v>29</v>
      </c>
      <c r="K78" t="s">
        <v>24</v>
      </c>
      <c r="L78" t="s">
        <v>25</v>
      </c>
      <c r="M78" t="s">
        <v>32</v>
      </c>
      <c r="N78" t="s">
        <v>83</v>
      </c>
      <c r="O78" t="s">
        <v>81</v>
      </c>
      <c r="P78" t="s">
        <v>80</v>
      </c>
      <c r="Q78">
        <v>2</v>
      </c>
      <c r="R78">
        <v>420</v>
      </c>
      <c r="S78">
        <v>769</v>
      </c>
      <c r="T78">
        <v>698</v>
      </c>
      <c r="U78">
        <v>840</v>
      </c>
      <c r="V78">
        <v>1538</v>
      </c>
    </row>
    <row r="79" spans="1:22" x14ac:dyDescent="0.25">
      <c r="A79">
        <v>261773</v>
      </c>
      <c r="B79" s="1">
        <v>44552</v>
      </c>
      <c r="C79">
        <v>22</v>
      </c>
      <c r="D79" t="s">
        <v>19</v>
      </c>
      <c r="E79">
        <v>2021</v>
      </c>
      <c r="F79">
        <v>30</v>
      </c>
      <c r="G79" t="s">
        <v>33</v>
      </c>
      <c r="H79" t="s">
        <v>21</v>
      </c>
      <c r="I79" t="s">
        <v>22</v>
      </c>
      <c r="J79" t="s">
        <v>41</v>
      </c>
      <c r="K79" t="s">
        <v>24</v>
      </c>
      <c r="L79" t="s">
        <v>25</v>
      </c>
      <c r="M79" t="s">
        <v>45</v>
      </c>
      <c r="N79" t="s">
        <v>78</v>
      </c>
      <c r="O79" t="s">
        <v>81</v>
      </c>
      <c r="P79" t="s">
        <v>84</v>
      </c>
      <c r="Q79">
        <v>3</v>
      </c>
      <c r="R79">
        <v>1266</v>
      </c>
      <c r="S79">
        <v>2320</v>
      </c>
      <c r="T79">
        <v>3162</v>
      </c>
      <c r="U79">
        <v>3798</v>
      </c>
      <c r="V79">
        <v>6960</v>
      </c>
    </row>
    <row r="80" spans="1:22" x14ac:dyDescent="0.25">
      <c r="A80">
        <v>261774</v>
      </c>
      <c r="B80" s="1">
        <v>44552</v>
      </c>
      <c r="C80">
        <v>22</v>
      </c>
      <c r="D80" t="s">
        <v>19</v>
      </c>
      <c r="E80">
        <v>2021</v>
      </c>
      <c r="F80">
        <v>41</v>
      </c>
      <c r="G80" t="s">
        <v>20</v>
      </c>
      <c r="H80" t="s">
        <v>27</v>
      </c>
      <c r="I80" t="s">
        <v>22</v>
      </c>
      <c r="J80" t="s">
        <v>23</v>
      </c>
      <c r="K80" t="s">
        <v>24</v>
      </c>
      <c r="L80" t="s">
        <v>25</v>
      </c>
      <c r="M80" t="s">
        <v>48</v>
      </c>
      <c r="N80" t="s">
        <v>78</v>
      </c>
      <c r="O80" t="s">
        <v>79</v>
      </c>
      <c r="P80" t="s">
        <v>82</v>
      </c>
      <c r="Q80">
        <v>3</v>
      </c>
      <c r="R80">
        <v>1252</v>
      </c>
      <c r="S80">
        <v>2295</v>
      </c>
      <c r="T80">
        <v>3129</v>
      </c>
      <c r="U80">
        <v>3756</v>
      </c>
      <c r="V80">
        <v>6885</v>
      </c>
    </row>
    <row r="81" spans="1:22" x14ac:dyDescent="0.25">
      <c r="A81">
        <v>261775</v>
      </c>
      <c r="B81" s="1">
        <v>44552</v>
      </c>
      <c r="C81">
        <v>22</v>
      </c>
      <c r="D81" t="s">
        <v>19</v>
      </c>
      <c r="E81">
        <v>2021</v>
      </c>
      <c r="F81">
        <v>19</v>
      </c>
      <c r="G81" t="s">
        <v>38</v>
      </c>
      <c r="H81" t="s">
        <v>21</v>
      </c>
      <c r="I81" t="s">
        <v>34</v>
      </c>
      <c r="J81" t="s">
        <v>35</v>
      </c>
      <c r="K81" t="s">
        <v>24</v>
      </c>
      <c r="L81" t="s">
        <v>25</v>
      </c>
      <c r="M81" t="s">
        <v>51</v>
      </c>
      <c r="N81" t="s">
        <v>85</v>
      </c>
      <c r="O81" t="s">
        <v>81</v>
      </c>
      <c r="P81" t="s">
        <v>82</v>
      </c>
      <c r="Q81">
        <v>1</v>
      </c>
      <c r="R81">
        <v>308</v>
      </c>
      <c r="S81">
        <v>565</v>
      </c>
      <c r="T81">
        <v>257</v>
      </c>
      <c r="U81">
        <v>308</v>
      </c>
      <c r="V81">
        <v>565</v>
      </c>
    </row>
    <row r="82" spans="1:22" x14ac:dyDescent="0.25">
      <c r="A82">
        <v>261776</v>
      </c>
      <c r="B82" s="1">
        <v>44552</v>
      </c>
      <c r="C82">
        <v>22</v>
      </c>
      <c r="D82" t="s">
        <v>19</v>
      </c>
      <c r="E82">
        <v>2021</v>
      </c>
      <c r="F82">
        <v>25</v>
      </c>
      <c r="G82" t="s">
        <v>33</v>
      </c>
      <c r="H82" t="s">
        <v>27</v>
      </c>
      <c r="I82" t="s">
        <v>58</v>
      </c>
      <c r="J82" t="s">
        <v>59</v>
      </c>
      <c r="K82" t="s">
        <v>24</v>
      </c>
      <c r="L82" t="s">
        <v>25</v>
      </c>
      <c r="M82" t="s">
        <v>39</v>
      </c>
      <c r="N82" t="s">
        <v>78</v>
      </c>
      <c r="O82" t="s">
        <v>79</v>
      </c>
      <c r="P82" t="s">
        <v>84</v>
      </c>
      <c r="Q82">
        <v>1</v>
      </c>
      <c r="R82">
        <v>1252</v>
      </c>
      <c r="S82">
        <v>2295</v>
      </c>
      <c r="T82">
        <v>1043</v>
      </c>
      <c r="U82">
        <v>1252</v>
      </c>
      <c r="V82">
        <v>2295</v>
      </c>
    </row>
    <row r="83" spans="1:22" x14ac:dyDescent="0.25">
      <c r="A83">
        <v>261777</v>
      </c>
      <c r="B83" s="1">
        <v>44552</v>
      </c>
      <c r="C83">
        <v>22</v>
      </c>
      <c r="D83" t="s">
        <v>19</v>
      </c>
      <c r="E83">
        <v>2021</v>
      </c>
      <c r="F83">
        <v>27</v>
      </c>
      <c r="G83" t="s">
        <v>33</v>
      </c>
      <c r="H83" t="s">
        <v>21</v>
      </c>
      <c r="I83" t="s">
        <v>46</v>
      </c>
      <c r="J83" t="s">
        <v>47</v>
      </c>
      <c r="K83" t="s">
        <v>24</v>
      </c>
      <c r="L83" t="s">
        <v>25</v>
      </c>
      <c r="M83" t="s">
        <v>26</v>
      </c>
      <c r="N83" t="s">
        <v>78</v>
      </c>
      <c r="O83" t="s">
        <v>79</v>
      </c>
      <c r="P83" t="s">
        <v>80</v>
      </c>
      <c r="Q83">
        <v>1</v>
      </c>
      <c r="R83">
        <v>1252</v>
      </c>
      <c r="S83">
        <v>2295</v>
      </c>
      <c r="T83">
        <v>1043</v>
      </c>
      <c r="U83">
        <v>1252</v>
      </c>
      <c r="V83">
        <v>2295</v>
      </c>
    </row>
    <row r="84" spans="1:22" x14ac:dyDescent="0.25">
      <c r="A84">
        <v>261778</v>
      </c>
      <c r="B84" s="1">
        <v>44552</v>
      </c>
      <c r="C84">
        <v>22</v>
      </c>
      <c r="D84" t="s">
        <v>19</v>
      </c>
      <c r="E84">
        <v>2021</v>
      </c>
      <c r="F84">
        <v>41</v>
      </c>
      <c r="G84" t="s">
        <v>20</v>
      </c>
      <c r="H84" t="s">
        <v>27</v>
      </c>
      <c r="I84" t="s">
        <v>42</v>
      </c>
      <c r="J84" t="s">
        <v>68</v>
      </c>
      <c r="K84" t="s">
        <v>24</v>
      </c>
      <c r="L84" t="s">
        <v>25</v>
      </c>
      <c r="M84" t="s">
        <v>45</v>
      </c>
      <c r="N84" t="s">
        <v>78</v>
      </c>
      <c r="O84" t="s">
        <v>81</v>
      </c>
      <c r="P84" t="s">
        <v>84</v>
      </c>
      <c r="Q84">
        <v>1</v>
      </c>
      <c r="R84">
        <v>1266</v>
      </c>
      <c r="S84">
        <v>2320</v>
      </c>
      <c r="T84">
        <v>1054</v>
      </c>
      <c r="U84">
        <v>1266</v>
      </c>
      <c r="V84">
        <v>2320</v>
      </c>
    </row>
    <row r="85" spans="1:22" x14ac:dyDescent="0.25">
      <c r="A85">
        <v>261779</v>
      </c>
      <c r="B85" s="1">
        <v>44553</v>
      </c>
      <c r="C85">
        <v>23</v>
      </c>
      <c r="D85" t="s">
        <v>19</v>
      </c>
      <c r="E85">
        <v>2021</v>
      </c>
      <c r="F85">
        <v>30</v>
      </c>
      <c r="G85" t="s">
        <v>33</v>
      </c>
      <c r="H85" t="s">
        <v>21</v>
      </c>
      <c r="I85" t="s">
        <v>22</v>
      </c>
      <c r="J85" t="s">
        <v>52</v>
      </c>
      <c r="K85" t="s">
        <v>24</v>
      </c>
      <c r="L85" t="s">
        <v>25</v>
      </c>
      <c r="M85" t="s">
        <v>30</v>
      </c>
      <c r="N85" t="s">
        <v>78</v>
      </c>
      <c r="O85" t="s">
        <v>81</v>
      </c>
      <c r="P85" t="s">
        <v>82</v>
      </c>
      <c r="Q85">
        <v>1</v>
      </c>
      <c r="R85">
        <v>1266</v>
      </c>
      <c r="S85">
        <v>2320</v>
      </c>
      <c r="T85">
        <v>1054</v>
      </c>
      <c r="U85">
        <v>1266</v>
      </c>
      <c r="V85">
        <v>2320</v>
      </c>
    </row>
    <row r="86" spans="1:22" x14ac:dyDescent="0.25">
      <c r="A86">
        <v>261780</v>
      </c>
      <c r="B86" s="1">
        <v>44553</v>
      </c>
      <c r="C86">
        <v>23</v>
      </c>
      <c r="D86" t="s">
        <v>19</v>
      </c>
      <c r="E86">
        <v>2021</v>
      </c>
      <c r="F86">
        <v>31</v>
      </c>
      <c r="G86" t="s">
        <v>33</v>
      </c>
      <c r="H86" t="s">
        <v>21</v>
      </c>
      <c r="I86" t="s">
        <v>46</v>
      </c>
      <c r="J86" t="s">
        <v>47</v>
      </c>
      <c r="K86" t="s">
        <v>24</v>
      </c>
      <c r="L86" t="s">
        <v>25</v>
      </c>
      <c r="M86" t="s">
        <v>48</v>
      </c>
      <c r="N86" t="s">
        <v>78</v>
      </c>
      <c r="O86" t="s">
        <v>79</v>
      </c>
      <c r="P86" t="s">
        <v>82</v>
      </c>
      <c r="Q86">
        <v>1</v>
      </c>
      <c r="R86">
        <v>1252</v>
      </c>
      <c r="S86">
        <v>2295</v>
      </c>
      <c r="T86">
        <v>1043</v>
      </c>
      <c r="U86">
        <v>1252</v>
      </c>
      <c r="V86">
        <v>2295</v>
      </c>
    </row>
    <row r="87" spans="1:22" x14ac:dyDescent="0.25">
      <c r="A87">
        <v>261781</v>
      </c>
      <c r="B87" s="1">
        <v>44553</v>
      </c>
      <c r="C87">
        <v>23</v>
      </c>
      <c r="D87" t="s">
        <v>19</v>
      </c>
      <c r="E87">
        <v>2021</v>
      </c>
      <c r="F87">
        <v>35</v>
      </c>
      <c r="G87" t="s">
        <v>20</v>
      </c>
      <c r="H87" t="s">
        <v>21</v>
      </c>
      <c r="I87" t="s">
        <v>22</v>
      </c>
      <c r="J87" t="s">
        <v>23</v>
      </c>
      <c r="K87" t="s">
        <v>24</v>
      </c>
      <c r="L87" t="s">
        <v>25</v>
      </c>
      <c r="M87" t="s">
        <v>71</v>
      </c>
      <c r="N87" t="s">
        <v>85</v>
      </c>
      <c r="O87" t="s">
        <v>79</v>
      </c>
      <c r="P87" t="s">
        <v>82</v>
      </c>
      <c r="Q87">
        <v>1</v>
      </c>
      <c r="R87">
        <v>295</v>
      </c>
      <c r="S87">
        <v>540</v>
      </c>
      <c r="T87">
        <v>245</v>
      </c>
      <c r="U87">
        <v>295</v>
      </c>
      <c r="V87">
        <v>540</v>
      </c>
    </row>
    <row r="88" spans="1:22" x14ac:dyDescent="0.25">
      <c r="A88">
        <v>261782</v>
      </c>
      <c r="B88" s="1">
        <v>44554</v>
      </c>
      <c r="C88">
        <v>24</v>
      </c>
      <c r="D88" t="s">
        <v>19</v>
      </c>
      <c r="E88">
        <v>2021</v>
      </c>
      <c r="F88">
        <v>38</v>
      </c>
      <c r="G88" t="s">
        <v>20</v>
      </c>
      <c r="H88" t="s">
        <v>27</v>
      </c>
      <c r="I88" t="s">
        <v>34</v>
      </c>
      <c r="J88" t="s">
        <v>44</v>
      </c>
      <c r="K88" t="s">
        <v>24</v>
      </c>
      <c r="L88" t="s">
        <v>25</v>
      </c>
      <c r="M88" t="s">
        <v>48</v>
      </c>
      <c r="N88" t="s">
        <v>78</v>
      </c>
      <c r="O88" t="s">
        <v>79</v>
      </c>
      <c r="P88" t="s">
        <v>82</v>
      </c>
      <c r="Q88">
        <v>4</v>
      </c>
      <c r="R88">
        <v>1252</v>
      </c>
      <c r="S88">
        <v>2295</v>
      </c>
      <c r="T88">
        <v>4172</v>
      </c>
      <c r="U88">
        <v>5008</v>
      </c>
      <c r="V88">
        <v>9180</v>
      </c>
    </row>
  </sheetData>
  <phoneticPr fontId="1" type="noConversion"/>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53F1B8-BAA6-45D9-99DE-E26C59E8D8AB}">
  <dimension ref="D2:AC13"/>
  <sheetViews>
    <sheetView topLeftCell="A2" zoomScale="85" zoomScaleNormal="85" workbookViewId="0">
      <selection activeCell="E31" sqref="E31"/>
    </sheetView>
  </sheetViews>
  <sheetFormatPr defaultRowHeight="13.8" x14ac:dyDescent="0.25"/>
  <cols>
    <col min="4" max="4" width="12.19921875" bestFit="1" customWidth="1"/>
    <col min="5" max="5" width="16" bestFit="1" customWidth="1"/>
    <col min="8" max="8" width="15" bestFit="1" customWidth="1"/>
    <col min="9" max="9" width="16" bestFit="1" customWidth="1"/>
    <col min="12" max="12" width="16.09765625" bestFit="1" customWidth="1"/>
    <col min="13" max="13" width="16" bestFit="1" customWidth="1"/>
    <col min="16" max="16" width="15.59765625" bestFit="1" customWidth="1"/>
    <col min="17" max="17" width="16" bestFit="1" customWidth="1"/>
    <col min="20" max="20" width="12.19921875" bestFit="1" customWidth="1"/>
    <col min="21" max="21" width="16" bestFit="1" customWidth="1"/>
    <col min="24" max="24" width="12.19921875" bestFit="1" customWidth="1"/>
    <col min="25" max="25" width="16" bestFit="1" customWidth="1"/>
    <col min="28" max="28" width="19.5" bestFit="1" customWidth="1"/>
    <col min="29" max="29" width="16" bestFit="1" customWidth="1"/>
  </cols>
  <sheetData>
    <row r="2" spans="4:29" x14ac:dyDescent="0.25">
      <c r="D2" s="5" t="s">
        <v>91</v>
      </c>
      <c r="E2" s="5"/>
      <c r="H2" s="5" t="s">
        <v>92</v>
      </c>
      <c r="I2" s="5"/>
      <c r="L2" s="5" t="s">
        <v>98</v>
      </c>
      <c r="M2" s="5"/>
      <c r="P2" s="5" t="s">
        <v>93</v>
      </c>
      <c r="Q2" s="5"/>
      <c r="T2" s="5" t="s">
        <v>94</v>
      </c>
      <c r="U2" s="5"/>
      <c r="X2" s="5" t="s">
        <v>95</v>
      </c>
      <c r="Y2" s="5"/>
      <c r="AB2" s="5" t="s">
        <v>96</v>
      </c>
      <c r="AC2" s="5"/>
    </row>
    <row r="3" spans="4:29" x14ac:dyDescent="0.25">
      <c r="D3" s="5"/>
      <c r="E3" s="5"/>
      <c r="H3" s="5"/>
      <c r="I3" s="5"/>
      <c r="L3" s="5"/>
      <c r="M3" s="5"/>
      <c r="P3" s="5"/>
      <c r="Q3" s="5"/>
      <c r="T3" s="5"/>
      <c r="U3" s="5"/>
      <c r="X3" s="5"/>
      <c r="Y3" s="5"/>
      <c r="AB3" s="5"/>
      <c r="AC3" s="5"/>
    </row>
    <row r="4" spans="4:29" x14ac:dyDescent="0.25">
      <c r="D4" s="2" t="s">
        <v>74</v>
      </c>
      <c r="E4" t="s">
        <v>73</v>
      </c>
      <c r="H4" s="2" t="s">
        <v>8</v>
      </c>
      <c r="I4" t="s">
        <v>73</v>
      </c>
      <c r="L4" s="2" t="s">
        <v>9</v>
      </c>
      <c r="M4" t="s">
        <v>73</v>
      </c>
      <c r="P4" s="2" t="s">
        <v>75</v>
      </c>
      <c r="Q4" t="s">
        <v>73</v>
      </c>
      <c r="T4" s="2" t="s">
        <v>76</v>
      </c>
      <c r="U4" t="s">
        <v>73</v>
      </c>
      <c r="X4" s="2" t="s">
        <v>77</v>
      </c>
      <c r="Y4" t="s">
        <v>73</v>
      </c>
      <c r="AB4" s="2" t="s">
        <v>97</v>
      </c>
      <c r="AC4" t="s">
        <v>73</v>
      </c>
    </row>
    <row r="5" spans="4:29" x14ac:dyDescent="0.25">
      <c r="D5" s="3" t="s">
        <v>21</v>
      </c>
      <c r="E5">
        <v>197049</v>
      </c>
      <c r="H5" s="3" t="s">
        <v>22</v>
      </c>
      <c r="I5">
        <v>122231</v>
      </c>
      <c r="L5" s="3" t="s">
        <v>23</v>
      </c>
      <c r="M5">
        <v>74464</v>
      </c>
      <c r="P5" s="3" t="s">
        <v>78</v>
      </c>
      <c r="Q5">
        <v>269665</v>
      </c>
      <c r="T5" s="3" t="s">
        <v>79</v>
      </c>
      <c r="U5">
        <v>201015</v>
      </c>
      <c r="X5" s="3" t="s">
        <v>84</v>
      </c>
      <c r="Y5">
        <v>135549</v>
      </c>
      <c r="AB5" s="3" t="s">
        <v>20</v>
      </c>
      <c r="AC5">
        <v>203421</v>
      </c>
    </row>
    <row r="6" spans="4:29" x14ac:dyDescent="0.25">
      <c r="D6" s="3" t="s">
        <v>27</v>
      </c>
      <c r="E6">
        <v>141268</v>
      </c>
      <c r="H6" s="3" t="s">
        <v>34</v>
      </c>
      <c r="I6">
        <v>111506</v>
      </c>
      <c r="L6" s="3" t="s">
        <v>35</v>
      </c>
      <c r="M6">
        <v>43467</v>
      </c>
      <c r="P6" s="3" t="s">
        <v>86</v>
      </c>
      <c r="Q6">
        <v>37150</v>
      </c>
      <c r="T6" s="3" t="s">
        <v>81</v>
      </c>
      <c r="U6">
        <v>137302</v>
      </c>
      <c r="X6" s="3" t="s">
        <v>80</v>
      </c>
      <c r="Y6">
        <v>99752</v>
      </c>
      <c r="AB6" s="3" t="s">
        <v>33</v>
      </c>
      <c r="AC6">
        <v>99566</v>
      </c>
    </row>
    <row r="7" spans="4:29" x14ac:dyDescent="0.25">
      <c r="D7" s="3" t="s">
        <v>72</v>
      </c>
      <c r="E7">
        <v>338317</v>
      </c>
      <c r="H7" s="3" t="s">
        <v>58</v>
      </c>
      <c r="I7">
        <v>46175</v>
      </c>
      <c r="L7" s="3" t="s">
        <v>44</v>
      </c>
      <c r="M7">
        <v>39140</v>
      </c>
      <c r="P7" s="3" t="s">
        <v>83</v>
      </c>
      <c r="Q7">
        <v>21532</v>
      </c>
      <c r="T7" s="3" t="s">
        <v>72</v>
      </c>
      <c r="U7">
        <v>338317</v>
      </c>
      <c r="X7" s="3" t="s">
        <v>82</v>
      </c>
      <c r="Y7">
        <v>81771</v>
      </c>
      <c r="AB7" s="3" t="s">
        <v>38</v>
      </c>
      <c r="AC7">
        <v>35330</v>
      </c>
    </row>
    <row r="8" spans="4:29" x14ac:dyDescent="0.25">
      <c r="H8" s="3" t="s">
        <v>42</v>
      </c>
      <c r="I8">
        <v>30010</v>
      </c>
      <c r="L8" s="3" t="s">
        <v>41</v>
      </c>
      <c r="M8">
        <v>31190</v>
      </c>
      <c r="P8" s="3" t="s">
        <v>85</v>
      </c>
      <c r="Q8">
        <v>9970</v>
      </c>
      <c r="X8" s="3" t="s">
        <v>89</v>
      </c>
      <c r="Y8">
        <v>13500</v>
      </c>
      <c r="AB8" s="3" t="s">
        <v>72</v>
      </c>
      <c r="AC8">
        <v>338317</v>
      </c>
    </row>
    <row r="9" spans="4:29" x14ac:dyDescent="0.25">
      <c r="H9" s="3" t="s">
        <v>28</v>
      </c>
      <c r="I9">
        <v>19972</v>
      </c>
      <c r="L9" s="3" t="s">
        <v>53</v>
      </c>
      <c r="M9">
        <v>27819</v>
      </c>
      <c r="P9" s="3" t="s">
        <v>72</v>
      </c>
      <c r="Q9">
        <v>338317</v>
      </c>
      <c r="X9" s="3" t="s">
        <v>88</v>
      </c>
      <c r="Y9">
        <v>5560</v>
      </c>
    </row>
    <row r="10" spans="4:29" x14ac:dyDescent="0.25">
      <c r="H10" s="3" t="s">
        <v>37</v>
      </c>
      <c r="I10">
        <v>4590</v>
      </c>
      <c r="L10" s="3" t="s">
        <v>72</v>
      </c>
      <c r="M10">
        <v>216080</v>
      </c>
      <c r="X10" s="3" t="s">
        <v>87</v>
      </c>
      <c r="Y10">
        <v>2185</v>
      </c>
    </row>
    <row r="11" spans="4:29" x14ac:dyDescent="0.25">
      <c r="H11" s="3" t="s">
        <v>40</v>
      </c>
      <c r="I11">
        <v>2295</v>
      </c>
      <c r="X11" s="3" t="s">
        <v>72</v>
      </c>
      <c r="Y11">
        <v>338317</v>
      </c>
    </row>
    <row r="12" spans="4:29" x14ac:dyDescent="0.25">
      <c r="H12" s="3" t="s">
        <v>31</v>
      </c>
      <c r="I12">
        <v>1538</v>
      </c>
    </row>
    <row r="13" spans="4:29" x14ac:dyDescent="0.25">
      <c r="H13" s="3" t="s">
        <v>72</v>
      </c>
      <c r="I13">
        <v>338317</v>
      </c>
    </row>
  </sheetData>
  <mergeCells count="7">
    <mergeCell ref="AB2:AC3"/>
    <mergeCell ref="X2:Y3"/>
    <mergeCell ref="D2:E3"/>
    <mergeCell ref="H2:I3"/>
    <mergeCell ref="L2:M3"/>
    <mergeCell ref="P2:Q3"/>
    <mergeCell ref="T2:U3"/>
  </mergeCells>
  <pageMargins left="0.7" right="0.7" top="0.75" bottom="0.75" header="0.3" footer="0.3"/>
  <drawing r:id="rId8"/>
  <extLst>
    <ext xmlns:x14="http://schemas.microsoft.com/office/spreadsheetml/2009/9/main" uri="{A8765BA9-456A-4dab-B4F3-ACF838C121DE}">
      <x14:slicerList>
        <x14:slicer r:id="rId9"/>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53543C-36F1-42A0-AC36-4EABB9E8E046}">
  <dimension ref="A1"/>
  <sheetViews>
    <sheetView showGridLines="0" showRowColHeaders="0" tabSelected="1" topLeftCell="A5" zoomScale="70" workbookViewId="0">
      <selection activeCell="P8" sqref="P8"/>
    </sheetView>
  </sheetViews>
  <sheetFormatPr defaultRowHeight="13.8" x14ac:dyDescent="0.25"/>
  <cols>
    <col min="1" max="16384" width="8.796875" style="4"/>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C6F08D8B-DC47-4FE2-B99A-8983CC1F9F51}">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Bike Sales</vt:lpstr>
      <vt:lpstr>pivot tables</vt:lpstr>
      <vt:lpstr>Dash 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YAHIA WAEL</dc:creator>
  <cp:lastModifiedBy>YAHIA WAEL</cp:lastModifiedBy>
  <dcterms:created xsi:type="dcterms:W3CDTF">2025-12-06T18:16:27Z</dcterms:created>
  <dcterms:modified xsi:type="dcterms:W3CDTF">2025-12-12T02:01:05Z</dcterms:modified>
</cp:coreProperties>
</file>