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IT\Desktop\Ai course\matirials\Excell\materials\"/>
    </mc:Choice>
  </mc:AlternateContent>
  <xr:revisionPtr revIDLastSave="0" documentId="13_ncr:1_{FB7A85C0-FFEE-416D-8BCB-C13C0F61525C}" xr6:coauthVersionLast="47" xr6:coauthVersionMax="47" xr10:uidLastSave="{00000000-0000-0000-0000-000000000000}"/>
  <bookViews>
    <workbookView xWindow="-108" yWindow="-108" windowWidth="23256" windowHeight="12456" activeTab="1" xr2:uid="{8DF875EB-A256-4BB3-B94E-613D5A527F9B}"/>
  </bookViews>
  <sheets>
    <sheet name="zara" sheetId="2" r:id="rId1"/>
    <sheet name="pivot tables" sheetId="1" r:id="rId2"/>
    <sheet name="dash board" sheetId="3" r:id="rId3"/>
  </sheets>
  <definedNames>
    <definedName name="ExternalData_1" localSheetId="0" hidden="1">zara!$A$1:$K$253</definedName>
    <definedName name="Slicer_Promotion">#N/A</definedName>
    <definedName name="Slicer_Seasonal">#N/A</definedName>
    <definedName name="Slicer_sec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2" l="1"/>
  <c r="R12" i="2"/>
  <c r="R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766161-D906-4789-8C59-F8D1109A0322}" keepAlive="1" name="Query - zara" description="Connection to the 'zara' query in the workbook." type="5" refreshedVersion="8" background="1" saveData="1">
    <dbPr connection="Provider=Microsoft.Mashup.OleDb.1;Data Source=$Workbook$;Location=zara;Extended Properties=&quot;&quot;" command="SELECT * FROM [zara]"/>
  </connection>
</connections>
</file>

<file path=xl/sharedStrings.xml><?xml version="1.0" encoding="utf-8"?>
<sst xmlns="http://schemas.openxmlformats.org/spreadsheetml/2006/main" count="2075" uniqueCount="234">
  <si>
    <t>Product name</t>
  </si>
  <si>
    <t>Product Category</t>
  </si>
  <si>
    <t>Sub-category</t>
  </si>
  <si>
    <t>Promotion</t>
  </si>
  <si>
    <t>Product Position</t>
  </si>
  <si>
    <t>Seasonal</t>
  </si>
  <si>
    <t>Sales Volume</t>
  </si>
  <si>
    <t>price</t>
  </si>
  <si>
    <t>Total sales</t>
  </si>
  <si>
    <t>currency</t>
  </si>
  <si>
    <t>section</t>
  </si>
  <si>
    <t>BASIC PUFFER JACKET</t>
  </si>
  <si>
    <t>Clothing</t>
  </si>
  <si>
    <t>jackets</t>
  </si>
  <si>
    <t>No</t>
  </si>
  <si>
    <t>Aisle</t>
  </si>
  <si>
    <t>USD</t>
  </si>
  <si>
    <t>MAN</t>
  </si>
  <si>
    <t>TUXEDO JACKET</t>
  </si>
  <si>
    <t>SLIM FIT SUIT JACKET</t>
  </si>
  <si>
    <t>Yes</t>
  </si>
  <si>
    <t>End-cap</t>
  </si>
  <si>
    <t>STRETCH SUIT JACKET</t>
  </si>
  <si>
    <t>DOUBLE FACED JACKET</t>
  </si>
  <si>
    <t>CONTRASTING COLLAR JACKET</t>
  </si>
  <si>
    <t>FAUX LEATHER PUFFER JACKET</t>
  </si>
  <si>
    <t>Front of Store</t>
  </si>
  <si>
    <t>SUIT JACKET IN 100% LINEN</t>
  </si>
  <si>
    <t>100% WOOL SUIT JACKET</t>
  </si>
  <si>
    <t>100% FEATHER FILL PUFFER JACKET</t>
  </si>
  <si>
    <t>HERRINGBONE TEXTURED JACKET</t>
  </si>
  <si>
    <t>OVERSIZED CROPPED JACKET LIMITED EDITION</t>
  </si>
  <si>
    <t>LEATHER BIKER JACKET</t>
  </si>
  <si>
    <t>CROPPED LEATHER JACKET</t>
  </si>
  <si>
    <t>FAUX LEATHER BOXY FIT JACKET</t>
  </si>
  <si>
    <t>FAUX LEATHER JACKET</t>
  </si>
  <si>
    <t>FAUX SUEDE BOMBER JACKET</t>
  </si>
  <si>
    <t>DENIM BOMBER JACKET</t>
  </si>
  <si>
    <t>BOUCLÃ‰ TEXTURED JACKET</t>
  </si>
  <si>
    <t>JACQUARD DENIM JACKET</t>
  </si>
  <si>
    <t>PADDED DENIM JACKET</t>
  </si>
  <si>
    <t>LEATHER JACKET</t>
  </si>
  <si>
    <t>LIGHTWEIGHT BOMBER JACKET</t>
  </si>
  <si>
    <t>SUIT JACKET</t>
  </si>
  <si>
    <t>FAUX LEATHER BOMBER JACKET</t>
  </si>
  <si>
    <t>PATCH BOMBER JACKET</t>
  </si>
  <si>
    <t>STRETCH POCKET OVERSHIRT</t>
  </si>
  <si>
    <t>RIB COLLAR JACKET</t>
  </si>
  <si>
    <t>FAUX LEATHER OVERSIZED JACKET LIMITED EDITION</t>
  </si>
  <si>
    <t>CONTRASTING PATCHES BOMBER JACKET</t>
  </si>
  <si>
    <t>CROPPED BOMBER JACKET LIMITED EDITION</t>
  </si>
  <si>
    <t>BOMBER JACKET</t>
  </si>
  <si>
    <t>FAUX SUEDE JACKET</t>
  </si>
  <si>
    <t>SUEDE JACKET</t>
  </si>
  <si>
    <t>TEXTURED JACKET</t>
  </si>
  <si>
    <t>CROPPED TEXTURED JACKET</t>
  </si>
  <si>
    <t>POCKET PUFFER JACKET</t>
  </si>
  <si>
    <t>TECHNICAL JACKET WITH POCKETS</t>
  </si>
  <si>
    <t>RIPPED DENIM JACKET</t>
  </si>
  <si>
    <t>TEXTURED POCKET JACKET</t>
  </si>
  <si>
    <t>FAUX SUEDE PATCH JACKET</t>
  </si>
  <si>
    <t>PUFFER JACKET WITH POUCH POCKET</t>
  </si>
  <si>
    <t>TEXTURED WEAVE OVERSHIRT</t>
  </si>
  <si>
    <t>STRAIGHT SUIT JACKET</t>
  </si>
  <si>
    <t>HOODED QUILTED JACKET</t>
  </si>
  <si>
    <t>LIGHTWEIGHT PUFFER JACKET</t>
  </si>
  <si>
    <t>COTTON BLEND BOMBER JACKET</t>
  </si>
  <si>
    <t>POCKET JACKET</t>
  </si>
  <si>
    <t>OVERSIZED BOMBER JACKET</t>
  </si>
  <si>
    <t>EMBROIDERED PATCH JACKET</t>
  </si>
  <si>
    <t>ACID WASH DENIM JACKET</t>
  </si>
  <si>
    <t>VINTAGE EFFECT LEATHER BOMBER JACKET</t>
  </si>
  <si>
    <t>TEXTURED DENIM JACKET LIMITED EDITION</t>
  </si>
  <si>
    <t>WOOL BLEND JACKET</t>
  </si>
  <si>
    <t>COTTON - LINEN BLEND JACKET</t>
  </si>
  <si>
    <t>FLEECE BOMBER JACKET</t>
  </si>
  <si>
    <t>ZIPPERED JACKET</t>
  </si>
  <si>
    <t>COTTON JACKET</t>
  </si>
  <si>
    <t>WOOL BLEND TEXTURED JACKET</t>
  </si>
  <si>
    <t>CONTRAST JACQUARD JACKET</t>
  </si>
  <si>
    <t>CROPPED OVERSHIRT</t>
  </si>
  <si>
    <t>CONTRASTING PATCHES HOODED JACKET</t>
  </si>
  <si>
    <t>UTILITY POCKET JACKET</t>
  </si>
  <si>
    <t/>
  </si>
  <si>
    <t>TECHNICAL PADDED JACKET</t>
  </si>
  <si>
    <t>MIXED COLLAR WAXED JACKET</t>
  </si>
  <si>
    <t>PADDED BOMBER JACKET</t>
  </si>
  <si>
    <t>POCKET DENIM JACKET</t>
  </si>
  <si>
    <t>BOXY FIT DENIM JACKET</t>
  </si>
  <si>
    <t>FAUX SHEARLING PLAID JACKET</t>
  </si>
  <si>
    <t>EMBROIDERED FOREST JACKET</t>
  </si>
  <si>
    <t>POCKET OVERSHIRT</t>
  </si>
  <si>
    <t>BOUCLE TEXTURED VEST</t>
  </si>
  <si>
    <t>COLOR BLOCK PUFFER JACKET</t>
  </si>
  <si>
    <t>LONGLINE QUILTED JACKET</t>
  </si>
  <si>
    <t>WOOL BLEND SUIT JACKET</t>
  </si>
  <si>
    <t>HOODED KNIT CARDIGAN</t>
  </si>
  <si>
    <t>HOODED TECHNICAL JACKET</t>
  </si>
  <si>
    <t>HOUNDSTOOTH SUIT JACKET</t>
  </si>
  <si>
    <t>WASHED EFFECT BOMBER JACKET</t>
  </si>
  <si>
    <t>WASHED TECHNICAL JACKET</t>
  </si>
  <si>
    <t>MIXED COLLAR JACKET</t>
  </si>
  <si>
    <t>HOODED DENIM JACKET</t>
  </si>
  <si>
    <t>WAXED EFFECT PLAID JACKET</t>
  </si>
  <si>
    <t>WOOL BLEND FELT TEXTURE JACKET</t>
  </si>
  <si>
    <t>PRINTED DENIM OVERSHIRT</t>
  </si>
  <si>
    <t>STRUCTURED TWILL OVERSHIRT</t>
  </si>
  <si>
    <t>COTTON OVERSHIRT</t>
  </si>
  <si>
    <t>REVERSIBLE PLAID OVERSHIRT</t>
  </si>
  <si>
    <t>PLAID OVERSHIRT</t>
  </si>
  <si>
    <t>100% LINEN OVERSHIRT</t>
  </si>
  <si>
    <t>POCKET DENIM OVERSHIRT</t>
  </si>
  <si>
    <t>FAUX SUEDE OVERSHIRT</t>
  </si>
  <si>
    <t>TEXTURED POCKET OVERSHIRT</t>
  </si>
  <si>
    <t>OVERSHIRT</t>
  </si>
  <si>
    <t>ZIPPERED WOOL BLEND OVERSHIRT</t>
  </si>
  <si>
    <t>GEOMETRIC JACQUARD OVERSHIRT</t>
  </si>
  <si>
    <t>PAINT PRINT OVERSHIRT</t>
  </si>
  <si>
    <t>PADDED CORDUROY OVERSHIRT</t>
  </si>
  <si>
    <t>PLAID TIE DYE OVERSHIRT</t>
  </si>
  <si>
    <t>OVERSHIRT WITH CONTRASTING TOPSTITCHING</t>
  </si>
  <si>
    <t>QUILTED STRUCTURED OVERSHIRT</t>
  </si>
  <si>
    <t>TECHNICAL OVERSHIRT</t>
  </si>
  <si>
    <t>SUEDE FISHERMAN SANDALS</t>
  </si>
  <si>
    <t>shoes</t>
  </si>
  <si>
    <t>ZIPPER MULTIPIECE SNEAKERS</t>
  </si>
  <si>
    <t>SUEDE LACELESS SNEAKERS</t>
  </si>
  <si>
    <t>MULTICOLOR SNEAKERS</t>
  </si>
  <si>
    <t>RETRO RUNNING SNEAKERS</t>
  </si>
  <si>
    <t>SUEDE HIGH-TOPS</t>
  </si>
  <si>
    <t>SUEDE STRAP SANDALS</t>
  </si>
  <si>
    <t>MULTIPIECE SNEAKERS</t>
  </si>
  <si>
    <t>TOPSTITCH SNEAKERS</t>
  </si>
  <si>
    <t>RETRO SNEAKERS</t>
  </si>
  <si>
    <t>RETRO HIGH TOP SNEAKERS</t>
  </si>
  <si>
    <t>MULTI-PIECED RETRO SNEAKERS</t>
  </si>
  <si>
    <t>TASSEL LEATHER LOAFERS</t>
  </si>
  <si>
    <t>MOC-TOE SUEDE BOOTS</t>
  </si>
  <si>
    <t>STRAP SANDALS</t>
  </si>
  <si>
    <t>SUEDE RETRO SNEAKERS</t>
  </si>
  <si>
    <t>HIKING BOOTS</t>
  </si>
  <si>
    <t>SUEDE SNEAKERS</t>
  </si>
  <si>
    <t>FAUX SHEARLING LINED SUEDE BOOTS</t>
  </si>
  <si>
    <t>CHUNKY SNEAKERS</t>
  </si>
  <si>
    <t>DOUBLE STRAP SUEDE SANDALS</t>
  </si>
  <si>
    <t>CHUNKY SOLE CANVAS LACE-UP BOOTS</t>
  </si>
  <si>
    <t>SUEDE PENNY LOAFERS</t>
  </si>
  <si>
    <t>ADHERENT STRIPES SNEAKERS</t>
  </si>
  <si>
    <t>CHUNKY SOLE HIGH TOP SNEAKERS</t>
  </si>
  <si>
    <t>CONTRAST SOLE LEATHER SNEAKERS</t>
  </si>
  <si>
    <t>SUEDE RUNNING SNEAKERS</t>
  </si>
  <si>
    <t>WOVEN LEATHER SLIDES</t>
  </si>
  <si>
    <t>ASYMMETRIC CROPPED KNIT SWEATER</t>
  </si>
  <si>
    <t>sweaters</t>
  </si>
  <si>
    <t>WOMAN</t>
  </si>
  <si>
    <t>KNIT SWEATER WITH PEARLS</t>
  </si>
  <si>
    <t>HIGH COLLAR KNIT SWEATER</t>
  </si>
  <si>
    <t>STRIPED KNIT SWEATER</t>
  </si>
  <si>
    <t>CABLE KNIT METALLIC SWEATER</t>
  </si>
  <si>
    <t>ASYMMETRICAL WOOL AND SILK BLEND SWEATER</t>
  </si>
  <si>
    <t>WOOL AND CASHMERE BLEND RIB SWEATER</t>
  </si>
  <si>
    <t>ALPACA AND WOOL BLEND TIE DYE KNIT SWEATER</t>
  </si>
  <si>
    <t>MOCK NECK WOOL AND SILK BLEND KNIT TOP</t>
  </si>
  <si>
    <t>CASHMERE BLEND KNIT SWEATER</t>
  </si>
  <si>
    <t>ALPACA BLEND OPEN KNIT SWEATER</t>
  </si>
  <si>
    <t>OVERSIZED KNIT SWEATER</t>
  </si>
  <si>
    <t>WOOL BLEND KNIT SWEATER</t>
  </si>
  <si>
    <t>SOFT JEWEL SWEATER</t>
  </si>
  <si>
    <t>FAUX FUR JEWEL SWEATER</t>
  </si>
  <si>
    <t>METAL BEAD KNIT SWEATER</t>
  </si>
  <si>
    <t>KNIT SWEATER WITH BUTTONS</t>
  </si>
  <si>
    <t>JEWEL KNIT SWEATER</t>
  </si>
  <si>
    <t>KNIT SWEATER WITH PIPING</t>
  </si>
  <si>
    <t>FINE KNIT CROP SWEATER</t>
  </si>
  <si>
    <t>KNIT SWEATER WITH RIPS</t>
  </si>
  <si>
    <t>GATHERED WAIST KNIT SWEATER</t>
  </si>
  <si>
    <t>KNIT V-NECK SWEATER</t>
  </si>
  <si>
    <t>BASIC FOIL KNIT SWEATER</t>
  </si>
  <si>
    <t>CONTRAST TOPSTITCHING CROP KNIT SWEATER</t>
  </si>
  <si>
    <t>STRIPED CROP KNIT SWEATER</t>
  </si>
  <si>
    <t>BASIC KNIT SWEATER</t>
  </si>
  <si>
    <t>V-NECK KNIT SWEATER</t>
  </si>
  <si>
    <t>FOIL KNIT CROP SWEATER</t>
  </si>
  <si>
    <t>BASIC 100% WOOL SWEATER</t>
  </si>
  <si>
    <t>COLORBLOCK KNIT CROP SWEATER</t>
  </si>
  <si>
    <t>FINE KNIT SWEATER</t>
  </si>
  <si>
    <t>KNIT OPEN BACK PEARLY SWEATER</t>
  </si>
  <si>
    <t>KNIT PEARL SWEATER</t>
  </si>
  <si>
    <t>STRIPED TEXTURED OVERSHIRT</t>
  </si>
  <si>
    <t>FLEECE OVERSHIRT</t>
  </si>
  <si>
    <t>BAGGY FIT JEANS LIMITED EDITION</t>
  </si>
  <si>
    <t>jeans</t>
  </si>
  <si>
    <t>BAGGY BELTED JEANS</t>
  </si>
  <si>
    <t>BAGGY FIT JEANS</t>
  </si>
  <si>
    <t>FLARED FIT CARGO JEANS</t>
  </si>
  <si>
    <t>PLEATED WIDE FIT JEANS</t>
  </si>
  <si>
    <t>DENIM SHIRT</t>
  </si>
  <si>
    <t>RIPPED STRAIGHT FIT JEANS</t>
  </si>
  <si>
    <t>TEXTURED SWEATER</t>
  </si>
  <si>
    <t>PURL KNIT SWEATER</t>
  </si>
  <si>
    <t>BRAIDED COLOR BLOCK SWEATER</t>
  </si>
  <si>
    <t>CONTRAST INTERIOR SWEATER</t>
  </si>
  <si>
    <t>ABSTRACT JACQUARD SWEATER</t>
  </si>
  <si>
    <t>BASIC SLIM FIT T-SHIRT</t>
  </si>
  <si>
    <t>t-shirts</t>
  </si>
  <si>
    <t>CROPPED WASHED T-SHIRT</t>
  </si>
  <si>
    <t>BASIC HEAVYWEIGHT T-SHIRT</t>
  </si>
  <si>
    <t>HEART PRINT T-SHIRT</t>
  </si>
  <si>
    <t>TEXT T-SHIRT</t>
  </si>
  <si>
    <t>PRINTED CROPPED FIT SHIRT LIMITED EDITION</t>
  </si>
  <si>
    <t>RIBBED KNIT T-SHIRT</t>
  </si>
  <si>
    <t>OVERSIZE FIT T-SHIRT</t>
  </si>
  <si>
    <t>BASIC MEDIUM WEIGHT T-SHIRT</t>
  </si>
  <si>
    <t>STRUCTURED TEXT T-SHIRT</t>
  </si>
  <si>
    <t>ABSTRACT PRINT T-SHIRT</t>
  </si>
  <si>
    <t>RAISED TEXT T-SHIRT LIMITED EDITION</t>
  </si>
  <si>
    <t>SEMI-SHEER KNIT SHIRT LIMITED EDITION</t>
  </si>
  <si>
    <t>VISCOSE BLEND KNIT T-SHIRT</t>
  </si>
  <si>
    <t>STRIPED JACQUARD T-SHIRT</t>
  </si>
  <si>
    <t>ABSTRACT PRINT KNIT T-SHIRT</t>
  </si>
  <si>
    <t>Grand Total</t>
  </si>
  <si>
    <t>Count of section</t>
  </si>
  <si>
    <t>total sales by sub_category</t>
  </si>
  <si>
    <t>total sales by promotion</t>
  </si>
  <si>
    <t xml:space="preserve">total sales by position </t>
  </si>
  <si>
    <t>total sales by seasonal</t>
  </si>
  <si>
    <t>Gender count</t>
  </si>
  <si>
    <t>total sales by gender</t>
  </si>
  <si>
    <t>Sub Category</t>
  </si>
  <si>
    <t>Gender</t>
  </si>
  <si>
    <t xml:space="preserve">Gender </t>
  </si>
  <si>
    <t>position</t>
  </si>
  <si>
    <t>Sales</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</si>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</sst>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00"/>
  </numFmts>
  <fonts count="4" x14ac:knownFonts="1">
    <font>
      <sz val="11"/>
      <color theme="1"/>
      <name val="Tw Cen MT"/>
      <family val="2"/>
      <scheme val="minor"/>
    </font>
    <font>
      <sz val="11"/>
      <color theme="1"/>
      <name val="Tw Cen MT"/>
      <family val="2"/>
      <scheme val="minor"/>
    </font>
    <font>
      <b/>
      <sz val="12"/>
      <color theme="1"/>
      <name val="Tw Cen MT"/>
      <family val="2"/>
      <scheme val="minor"/>
    </font>
    <font>
      <b/>
      <sz val="48"/>
      <color theme="1"/>
      <name val="Tw Cen MT"/>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44" fontId="0" fillId="0" borderId="0" xfId="1" applyFont="1"/>
    <xf numFmtId="164"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44" fontId="0" fillId="0" borderId="0" xfId="0" applyNumberFormat="1"/>
    <xf numFmtId="0" fontId="0" fillId="3" borderId="0" xfId="0" applyFill="1"/>
    <xf numFmtId="165" fontId="0" fillId="0" borderId="0" xfId="2" applyNumberFormat="1" applyFont="1"/>
    <xf numFmtId="0" fontId="2" fillId="2" borderId="0" xfId="0" applyFont="1" applyFill="1" applyAlignment="1">
      <alignment horizontal="center" vertical="center"/>
    </xf>
    <xf numFmtId="0" fontId="3" fillId="3" borderId="0" xfId="0" applyFont="1" applyFill="1" applyAlignment="1">
      <alignment horizontal="center" vertical="top"/>
    </xf>
  </cellXfs>
  <cellStyles count="3">
    <cellStyle name="Currency" xfId="1" builtinId="4"/>
    <cellStyle name="Normal" xfId="0" builtinId="0"/>
    <cellStyle name="Percent" xfId="2" builtinId="5"/>
  </cellStyles>
  <dxfs count="1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C8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sub_category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solidFill>
            <a:ln>
              <a:noFill/>
            </a:ln>
            <a:effectLst/>
          </c:spPr>
          <c:invertIfNegative val="0"/>
          <c:cat>
            <c:strRef>
              <c:f>'pivot tables'!$B$4:$B$9</c:f>
              <c:strCache>
                <c:ptCount val="5"/>
                <c:pt idx="0">
                  <c:v>jackets</c:v>
                </c:pt>
                <c:pt idx="1">
                  <c:v>sweaters</c:v>
                </c:pt>
                <c:pt idx="2">
                  <c:v>shoes</c:v>
                </c:pt>
                <c:pt idx="3">
                  <c:v>t-shirts</c:v>
                </c:pt>
                <c:pt idx="4">
                  <c:v>jeans</c:v>
                </c:pt>
              </c:strCache>
            </c:strRef>
          </c:cat>
          <c:val>
            <c:numRef>
              <c:f>'pivot tables'!$C$4:$C$9</c:f>
              <c:numCache>
                <c:formatCode>_("$"* #,##0.00_);_("$"* \(#,##0.00\);_("$"* "-"??_);_(@_)</c:formatCode>
                <c:ptCount val="5"/>
                <c:pt idx="0">
                  <c:v>7573500.9500000002</c:v>
                </c:pt>
                <c:pt idx="1">
                  <c:v>1171942.7</c:v>
                </c:pt>
                <c:pt idx="2">
                  <c:v>596633.19999999995</c:v>
                </c:pt>
                <c:pt idx="3">
                  <c:v>567593.25</c:v>
                </c:pt>
                <c:pt idx="4">
                  <c:v>268698.2</c:v>
                </c:pt>
              </c:numCache>
            </c:numRef>
          </c:val>
          <c:extLst>
            <c:ext xmlns:c16="http://schemas.microsoft.com/office/drawing/2014/chart" uri="{C3380CC4-5D6E-409C-BE32-E72D297353CC}">
              <c16:uniqueId val="{00000000-99C1-43F8-936E-E82785B6F88C}"/>
            </c:ext>
          </c:extLst>
        </c:ser>
        <c:dLbls>
          <c:showLegendKey val="0"/>
          <c:showVal val="0"/>
          <c:showCatName val="0"/>
          <c:showSerName val="0"/>
          <c:showPercent val="0"/>
          <c:showBubbleSize val="0"/>
        </c:dLbls>
        <c:gapWidth val="219"/>
        <c:overlap val="-27"/>
        <c:axId val="1303890400"/>
        <c:axId val="1303889920"/>
      </c:barChart>
      <c:catAx>
        <c:axId val="130389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89920"/>
        <c:crosses val="autoZero"/>
        <c:auto val="1"/>
        <c:lblAlgn val="ctr"/>
        <c:lblOffset val="100"/>
        <c:noMultiLvlLbl val="0"/>
      </c:catAx>
      <c:valAx>
        <c:axId val="1303889920"/>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tables'!$C$15</c:f>
              <c:strCache>
                <c:ptCount val="1"/>
                <c:pt idx="0">
                  <c:v>Total</c:v>
                </c:pt>
              </c:strCache>
            </c:strRef>
          </c:tx>
          <c:spPr>
            <a:solidFill>
              <a:schemeClr val="accent1"/>
            </a:solidFill>
            <a:ln>
              <a:noFill/>
            </a:ln>
            <a:effectLst/>
          </c:spPr>
          <c:invertIfNegative val="0"/>
          <c:cat>
            <c:strRef>
              <c:f>'pivot tables'!$B$16:$B$18</c:f>
              <c:strCache>
                <c:ptCount val="2"/>
                <c:pt idx="0">
                  <c:v>No</c:v>
                </c:pt>
                <c:pt idx="1">
                  <c:v>Yes</c:v>
                </c:pt>
              </c:strCache>
            </c:strRef>
          </c:cat>
          <c:val>
            <c:numRef>
              <c:f>'pivot tables'!$C$16:$C$18</c:f>
              <c:numCache>
                <c:formatCode>_("$"* #,##0.00_);_("$"* \(#,##0.00\);_("$"* "-"??_);_(@_)</c:formatCode>
                <c:ptCount val="2"/>
                <c:pt idx="0">
                  <c:v>9653720.3600000013</c:v>
                </c:pt>
                <c:pt idx="1">
                  <c:v>10178368.299999999</c:v>
                </c:pt>
              </c:numCache>
            </c:numRef>
          </c:val>
          <c:extLst>
            <c:ext xmlns:c16="http://schemas.microsoft.com/office/drawing/2014/chart" uri="{C3380CC4-5D6E-409C-BE32-E72D297353CC}">
              <c16:uniqueId val="{00000000-C791-4DAB-A4A8-C3EB78BAC92A}"/>
            </c:ext>
          </c:extLst>
        </c:ser>
        <c:dLbls>
          <c:showLegendKey val="0"/>
          <c:showVal val="0"/>
          <c:showCatName val="0"/>
          <c:showSerName val="0"/>
          <c:showPercent val="0"/>
          <c:showBubbleSize val="0"/>
        </c:dLbls>
        <c:gapWidth val="182"/>
        <c:axId val="1303893760"/>
        <c:axId val="1303892320"/>
      </c:barChart>
      <c:catAx>
        <c:axId val="130389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2320"/>
        <c:crosses val="autoZero"/>
        <c:auto val="1"/>
        <c:lblAlgn val="ctr"/>
        <c:lblOffset val="100"/>
        <c:noMultiLvlLbl val="0"/>
      </c:catAx>
      <c:valAx>
        <c:axId val="1303892320"/>
        <c:scaling>
          <c:orientation val="minMax"/>
        </c:scaling>
        <c:delete val="1"/>
        <c:axPos val="b"/>
        <c:numFmt formatCode="_(&quot;$&quot;* #,##0.00_);_(&quot;$&quot;* \(#,##0.00\);_(&quot;$&quot;* &quot;-&quot;??_);_(@_)" sourceLinked="1"/>
        <c:majorTickMark val="none"/>
        <c:minorTickMark val="none"/>
        <c:tickLblPos val="nextTo"/>
        <c:crossAx val="130389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seasonal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tables'!$C$34</c:f>
              <c:strCache>
                <c:ptCount val="1"/>
                <c:pt idx="0">
                  <c:v>Total</c:v>
                </c:pt>
              </c:strCache>
            </c:strRef>
          </c:tx>
          <c:spPr>
            <a:solidFill>
              <a:schemeClr val="accent1"/>
            </a:solidFill>
            <a:ln>
              <a:noFill/>
            </a:ln>
            <a:effectLst/>
          </c:spPr>
          <c:invertIfNegative val="0"/>
          <c:cat>
            <c:strRef>
              <c:f>'pivot tables'!$B$35:$B$37</c:f>
              <c:strCache>
                <c:ptCount val="2"/>
                <c:pt idx="0">
                  <c:v>Yes</c:v>
                </c:pt>
                <c:pt idx="1">
                  <c:v>No</c:v>
                </c:pt>
              </c:strCache>
            </c:strRef>
          </c:cat>
          <c:val>
            <c:numRef>
              <c:f>'pivot tables'!$C$35:$C$37</c:f>
              <c:numCache>
                <c:formatCode>_("$"* #,##0.00_);_("$"* \(#,##0.00\);_("$"* "-"??_);_(@_)</c:formatCode>
                <c:ptCount val="2"/>
                <c:pt idx="0">
                  <c:v>10178368.299999999</c:v>
                </c:pt>
                <c:pt idx="1">
                  <c:v>9816018.5999999996</c:v>
                </c:pt>
              </c:numCache>
            </c:numRef>
          </c:val>
          <c:extLst>
            <c:ext xmlns:c16="http://schemas.microsoft.com/office/drawing/2014/chart" uri="{C3380CC4-5D6E-409C-BE32-E72D297353CC}">
              <c16:uniqueId val="{00000000-CE4A-4482-9552-F9DDC09C0A01}"/>
            </c:ext>
          </c:extLst>
        </c:ser>
        <c:dLbls>
          <c:showLegendKey val="0"/>
          <c:showVal val="0"/>
          <c:showCatName val="0"/>
          <c:showSerName val="0"/>
          <c:showPercent val="0"/>
          <c:showBubbleSize val="0"/>
        </c:dLbls>
        <c:gapWidth val="182"/>
        <c:axId val="2139683104"/>
        <c:axId val="2139683584"/>
      </c:barChart>
      <c:catAx>
        <c:axId val="213968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3584"/>
        <c:crosses val="autoZero"/>
        <c:auto val="1"/>
        <c:lblAlgn val="ctr"/>
        <c:lblOffset val="100"/>
        <c:noMultiLvlLbl val="0"/>
      </c:catAx>
      <c:valAx>
        <c:axId val="213968358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position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tables'!$C$24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79-48FC-9207-305C915F0F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79-48FC-9207-305C915F0F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79-48FC-9207-305C915F0F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tables'!$B$25:$B$28</c:f>
              <c:strCache>
                <c:ptCount val="3"/>
                <c:pt idx="0">
                  <c:v>End-cap</c:v>
                </c:pt>
                <c:pt idx="1">
                  <c:v>Aisle</c:v>
                </c:pt>
                <c:pt idx="2">
                  <c:v>Front of Store</c:v>
                </c:pt>
              </c:strCache>
            </c:strRef>
          </c:cat>
          <c:val>
            <c:numRef>
              <c:f>'pivot tables'!$C$25:$C$28</c:f>
              <c:numCache>
                <c:formatCode>0.00%</c:formatCode>
                <c:ptCount val="3"/>
                <c:pt idx="0">
                  <c:v>0.4024913649469728</c:v>
                </c:pt>
                <c:pt idx="1">
                  <c:v>0.32121196773750071</c:v>
                </c:pt>
                <c:pt idx="2">
                  <c:v>0.27629666731552638</c:v>
                </c:pt>
              </c:numCache>
            </c:numRef>
          </c:val>
          <c:extLst>
            <c:ext xmlns:c16="http://schemas.microsoft.com/office/drawing/2014/chart" uri="{C3380CC4-5D6E-409C-BE32-E72D297353CC}">
              <c16:uniqueId val="{00000000-D004-4280-8578-45E8C03BCF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tables'!$C$51</c:f>
              <c:strCache>
                <c:ptCount val="1"/>
                <c:pt idx="0">
                  <c:v>Total</c:v>
                </c:pt>
              </c:strCache>
            </c:strRef>
          </c:tx>
          <c:spPr>
            <a:solidFill>
              <a:schemeClr val="accent1"/>
            </a:solidFill>
            <a:ln>
              <a:noFill/>
            </a:ln>
            <a:effectLst/>
          </c:spPr>
          <c:invertIfNegative val="0"/>
          <c:cat>
            <c:strRef>
              <c:f>'pivot tables'!$B$52:$B$54</c:f>
              <c:strCache>
                <c:ptCount val="2"/>
                <c:pt idx="0">
                  <c:v>MAN</c:v>
                </c:pt>
                <c:pt idx="1">
                  <c:v>WOMAN</c:v>
                </c:pt>
              </c:strCache>
            </c:strRef>
          </c:cat>
          <c:val>
            <c:numRef>
              <c:f>'pivot tables'!$C$52:$C$54</c:f>
              <c:numCache>
                <c:formatCode>_("$"* #,##0.00_);_("$"* \(#,##0.00\);_("$"* "-"??_);_(@_)</c:formatCode>
                <c:ptCount val="2"/>
                <c:pt idx="0">
                  <c:v>9130707.8000000007</c:v>
                </c:pt>
                <c:pt idx="1">
                  <c:v>1047660.5</c:v>
                </c:pt>
              </c:numCache>
            </c:numRef>
          </c:val>
          <c:extLst>
            <c:ext xmlns:c16="http://schemas.microsoft.com/office/drawing/2014/chart" uri="{C3380CC4-5D6E-409C-BE32-E72D297353CC}">
              <c16:uniqueId val="{00000000-0729-46E0-BB13-1F62C49A4E9F}"/>
            </c:ext>
          </c:extLst>
        </c:ser>
        <c:dLbls>
          <c:showLegendKey val="0"/>
          <c:showVal val="0"/>
          <c:showCatName val="0"/>
          <c:showSerName val="0"/>
          <c:showPercent val="0"/>
          <c:showBubbleSize val="0"/>
        </c:dLbls>
        <c:gapWidth val="219"/>
        <c:overlap val="-27"/>
        <c:axId val="2139664864"/>
        <c:axId val="2139681664"/>
      </c:barChart>
      <c:catAx>
        <c:axId val="21396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1664"/>
        <c:crosses val="autoZero"/>
        <c:auto val="1"/>
        <c:lblAlgn val="ctr"/>
        <c:lblOffset val="100"/>
        <c:noMultiLvlLbl val="0"/>
      </c:catAx>
      <c:valAx>
        <c:axId val="213968166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6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tables'!$C$43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A8-4F50-B0E2-32470E54A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A8-4F50-B0E2-32470E54A22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tables'!$B$44:$B$46</c:f>
              <c:strCache>
                <c:ptCount val="2"/>
                <c:pt idx="0">
                  <c:v>MAN</c:v>
                </c:pt>
                <c:pt idx="1">
                  <c:v>WOMAN</c:v>
                </c:pt>
              </c:strCache>
            </c:strRef>
          </c:cat>
          <c:val>
            <c:numRef>
              <c:f>'pivot tables'!$C$44:$C$46</c:f>
              <c:numCache>
                <c:formatCode>General</c:formatCode>
                <c:ptCount val="2"/>
                <c:pt idx="0">
                  <c:v>50</c:v>
                </c:pt>
                <c:pt idx="1">
                  <c:v>11</c:v>
                </c:pt>
              </c:numCache>
            </c:numRef>
          </c:val>
          <c:extLst>
            <c:ext xmlns:c16="http://schemas.microsoft.com/office/drawing/2014/chart" uri="{C3380CC4-5D6E-409C-BE32-E72D297353CC}">
              <c16:uniqueId val="{00000000-7443-4888-AFC4-FF8F3D16DA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tables'!$C$74</c:f>
              <c:strCache>
                <c:ptCount val="1"/>
                <c:pt idx="0">
                  <c:v>Total</c:v>
                </c:pt>
              </c:strCache>
            </c:strRef>
          </c:tx>
          <c:spPr>
            <a:solidFill>
              <a:schemeClr val="accent1"/>
            </a:solidFill>
            <a:ln>
              <a:noFill/>
            </a:ln>
            <a:effectLst/>
          </c:spPr>
          <c:invertIfNegative val="0"/>
          <c:cat>
            <c:strRef>
              <c:f>'pivot tables'!$B$75:$B$80</c:f>
              <c:strCache>
                <c:ptCount val="5"/>
                <c:pt idx="0">
                  <c:v>SLIM FIT SUIT JACKET</c:v>
                </c:pt>
                <c:pt idx="1">
                  <c:v>VINTAGE EFFECT LEATHER BOMBER JACKET</c:v>
                </c:pt>
                <c:pt idx="2">
                  <c:v>WOOL BLEND TEXTURED JACKET</c:v>
                </c:pt>
                <c:pt idx="3">
                  <c:v>HERRINGBONE TEXTURED JACKET</c:v>
                </c:pt>
                <c:pt idx="4">
                  <c:v>STRETCH POCKET OVERSHIRT</c:v>
                </c:pt>
              </c:strCache>
            </c:strRef>
          </c:cat>
          <c:val>
            <c:numRef>
              <c:f>'pivot tables'!$C$75:$C$80</c:f>
              <c:numCache>
                <c:formatCode>_("$"* #,##0.00_);_("$"* \(#,##0.00\);_("$"* "-"??_);_(@_)</c:formatCode>
                <c:ptCount val="5"/>
                <c:pt idx="0">
                  <c:v>675719</c:v>
                </c:pt>
                <c:pt idx="1">
                  <c:v>651521</c:v>
                </c:pt>
                <c:pt idx="2">
                  <c:v>447174</c:v>
                </c:pt>
                <c:pt idx="3">
                  <c:v>432887.6</c:v>
                </c:pt>
                <c:pt idx="4">
                  <c:v>392625.5</c:v>
                </c:pt>
              </c:numCache>
            </c:numRef>
          </c:val>
          <c:extLst>
            <c:ext xmlns:c16="http://schemas.microsoft.com/office/drawing/2014/chart" uri="{C3380CC4-5D6E-409C-BE32-E72D297353CC}">
              <c16:uniqueId val="{00000000-9986-4BE6-AB07-16AD6E1DBE7B}"/>
            </c:ext>
          </c:extLst>
        </c:ser>
        <c:dLbls>
          <c:showLegendKey val="0"/>
          <c:showVal val="0"/>
          <c:showCatName val="0"/>
          <c:showSerName val="0"/>
          <c:showPercent val="0"/>
          <c:showBubbleSize val="0"/>
        </c:dLbls>
        <c:gapWidth val="182"/>
        <c:axId val="2035166591"/>
        <c:axId val="2035170431"/>
      </c:barChart>
      <c:catAx>
        <c:axId val="203516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70431"/>
        <c:crosses val="autoZero"/>
        <c:auto val="1"/>
        <c:lblAlgn val="ctr"/>
        <c:lblOffset val="100"/>
        <c:noMultiLvlLbl val="0"/>
      </c:catAx>
      <c:valAx>
        <c:axId val="2035170431"/>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sub_category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solidFill>
            <a:ln>
              <a:noFill/>
            </a:ln>
            <a:effectLst/>
          </c:spPr>
          <c:invertIfNegative val="0"/>
          <c:cat>
            <c:strRef>
              <c:f>'pivot tables'!$B$4:$B$9</c:f>
              <c:strCache>
                <c:ptCount val="5"/>
                <c:pt idx="0">
                  <c:v>jackets</c:v>
                </c:pt>
                <c:pt idx="1">
                  <c:v>sweaters</c:v>
                </c:pt>
                <c:pt idx="2">
                  <c:v>shoes</c:v>
                </c:pt>
                <c:pt idx="3">
                  <c:v>t-shirts</c:v>
                </c:pt>
                <c:pt idx="4">
                  <c:v>jeans</c:v>
                </c:pt>
              </c:strCache>
            </c:strRef>
          </c:cat>
          <c:val>
            <c:numRef>
              <c:f>'pivot tables'!$C$4:$C$9</c:f>
              <c:numCache>
                <c:formatCode>_("$"* #,##0.00_);_("$"* \(#,##0.00\);_("$"* "-"??_);_(@_)</c:formatCode>
                <c:ptCount val="5"/>
                <c:pt idx="0">
                  <c:v>7573500.9500000002</c:v>
                </c:pt>
                <c:pt idx="1">
                  <c:v>1171942.7</c:v>
                </c:pt>
                <c:pt idx="2">
                  <c:v>596633.19999999995</c:v>
                </c:pt>
                <c:pt idx="3">
                  <c:v>567593.25</c:v>
                </c:pt>
                <c:pt idx="4">
                  <c:v>268698.2</c:v>
                </c:pt>
              </c:numCache>
            </c:numRef>
          </c:val>
          <c:extLst>
            <c:ext xmlns:c16="http://schemas.microsoft.com/office/drawing/2014/chart" uri="{C3380CC4-5D6E-409C-BE32-E72D297353CC}">
              <c16:uniqueId val="{00000000-1E17-4CDD-ACFB-F1C18F0BC560}"/>
            </c:ext>
          </c:extLst>
        </c:ser>
        <c:dLbls>
          <c:showLegendKey val="0"/>
          <c:showVal val="0"/>
          <c:showCatName val="0"/>
          <c:showSerName val="0"/>
          <c:showPercent val="0"/>
          <c:showBubbleSize val="0"/>
        </c:dLbls>
        <c:gapWidth val="219"/>
        <c:overlap val="-27"/>
        <c:axId val="1303890400"/>
        <c:axId val="1303889920"/>
      </c:barChart>
      <c:catAx>
        <c:axId val="130389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89920"/>
        <c:crosses val="autoZero"/>
        <c:auto val="1"/>
        <c:lblAlgn val="ctr"/>
        <c:lblOffset val="100"/>
        <c:noMultiLvlLbl val="0"/>
      </c:catAx>
      <c:valAx>
        <c:axId val="1303889920"/>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tables'!$C$51</c:f>
              <c:strCache>
                <c:ptCount val="1"/>
                <c:pt idx="0">
                  <c:v>Total</c:v>
                </c:pt>
              </c:strCache>
            </c:strRef>
          </c:tx>
          <c:spPr>
            <a:solidFill>
              <a:schemeClr val="accent1"/>
            </a:solidFill>
            <a:ln>
              <a:noFill/>
            </a:ln>
            <a:effectLst/>
          </c:spPr>
          <c:invertIfNegative val="0"/>
          <c:cat>
            <c:strRef>
              <c:f>'pivot tables'!$B$52:$B$54</c:f>
              <c:strCache>
                <c:ptCount val="2"/>
                <c:pt idx="0">
                  <c:v>MAN</c:v>
                </c:pt>
                <c:pt idx="1">
                  <c:v>WOMAN</c:v>
                </c:pt>
              </c:strCache>
            </c:strRef>
          </c:cat>
          <c:val>
            <c:numRef>
              <c:f>'pivot tables'!$C$52:$C$54</c:f>
              <c:numCache>
                <c:formatCode>_("$"* #,##0.00_);_("$"* \(#,##0.00\);_("$"* "-"??_);_(@_)</c:formatCode>
                <c:ptCount val="2"/>
                <c:pt idx="0">
                  <c:v>9130707.8000000007</c:v>
                </c:pt>
                <c:pt idx="1">
                  <c:v>1047660.5</c:v>
                </c:pt>
              </c:numCache>
            </c:numRef>
          </c:val>
          <c:extLst>
            <c:ext xmlns:c16="http://schemas.microsoft.com/office/drawing/2014/chart" uri="{C3380CC4-5D6E-409C-BE32-E72D297353CC}">
              <c16:uniqueId val="{00000000-1A97-4F89-B422-35E5FD093E67}"/>
            </c:ext>
          </c:extLst>
        </c:ser>
        <c:dLbls>
          <c:showLegendKey val="0"/>
          <c:showVal val="0"/>
          <c:showCatName val="0"/>
          <c:showSerName val="0"/>
          <c:showPercent val="0"/>
          <c:showBubbleSize val="0"/>
        </c:dLbls>
        <c:gapWidth val="219"/>
        <c:overlap val="-27"/>
        <c:axId val="2139664864"/>
        <c:axId val="2139681664"/>
      </c:barChart>
      <c:catAx>
        <c:axId val="21396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1664"/>
        <c:crosses val="autoZero"/>
        <c:auto val="1"/>
        <c:lblAlgn val="ctr"/>
        <c:lblOffset val="100"/>
        <c:noMultiLvlLbl val="0"/>
      </c:catAx>
      <c:valAx>
        <c:axId val="213968166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6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position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tables'!$C$24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A0-4EA2-A2EC-52B58D30F5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0-4EA2-A2EC-52B58D30F5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A0-4EA2-A2EC-52B58D30F5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tables'!$B$25:$B$28</c:f>
              <c:strCache>
                <c:ptCount val="3"/>
                <c:pt idx="0">
                  <c:v>End-cap</c:v>
                </c:pt>
                <c:pt idx="1">
                  <c:v>Aisle</c:v>
                </c:pt>
                <c:pt idx="2">
                  <c:v>Front of Store</c:v>
                </c:pt>
              </c:strCache>
            </c:strRef>
          </c:cat>
          <c:val>
            <c:numRef>
              <c:f>'pivot tables'!$C$25:$C$28</c:f>
              <c:numCache>
                <c:formatCode>0.00%</c:formatCode>
                <c:ptCount val="3"/>
                <c:pt idx="0">
                  <c:v>0.4024913649469728</c:v>
                </c:pt>
                <c:pt idx="1">
                  <c:v>0.32121196773750071</c:v>
                </c:pt>
                <c:pt idx="2">
                  <c:v>0.27629666731552638</c:v>
                </c:pt>
              </c:numCache>
            </c:numRef>
          </c:val>
          <c:extLst>
            <c:ext xmlns:c16="http://schemas.microsoft.com/office/drawing/2014/chart" uri="{C3380CC4-5D6E-409C-BE32-E72D297353CC}">
              <c16:uniqueId val="{00000006-19A0-4EA2-A2EC-52B58D30F5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tables'!$C$15</c:f>
              <c:strCache>
                <c:ptCount val="1"/>
                <c:pt idx="0">
                  <c:v>Total</c:v>
                </c:pt>
              </c:strCache>
            </c:strRef>
          </c:tx>
          <c:spPr>
            <a:solidFill>
              <a:schemeClr val="accent1"/>
            </a:solidFill>
            <a:ln>
              <a:noFill/>
            </a:ln>
            <a:effectLst/>
          </c:spPr>
          <c:invertIfNegative val="0"/>
          <c:cat>
            <c:strRef>
              <c:f>'pivot tables'!$B$16:$B$18</c:f>
              <c:strCache>
                <c:ptCount val="2"/>
                <c:pt idx="0">
                  <c:v>No</c:v>
                </c:pt>
                <c:pt idx="1">
                  <c:v>Yes</c:v>
                </c:pt>
              </c:strCache>
            </c:strRef>
          </c:cat>
          <c:val>
            <c:numRef>
              <c:f>'pivot tables'!$C$16:$C$18</c:f>
              <c:numCache>
                <c:formatCode>_("$"* #,##0.00_);_("$"* \(#,##0.00\);_("$"* "-"??_);_(@_)</c:formatCode>
                <c:ptCount val="2"/>
                <c:pt idx="0">
                  <c:v>9653720.3600000013</c:v>
                </c:pt>
                <c:pt idx="1">
                  <c:v>10178368.299999999</c:v>
                </c:pt>
              </c:numCache>
            </c:numRef>
          </c:val>
          <c:extLst>
            <c:ext xmlns:c16="http://schemas.microsoft.com/office/drawing/2014/chart" uri="{C3380CC4-5D6E-409C-BE32-E72D297353CC}">
              <c16:uniqueId val="{00000000-B22F-4471-96CA-E9061A24C592}"/>
            </c:ext>
          </c:extLst>
        </c:ser>
        <c:dLbls>
          <c:showLegendKey val="0"/>
          <c:showVal val="0"/>
          <c:showCatName val="0"/>
          <c:showSerName val="0"/>
          <c:showPercent val="0"/>
          <c:showBubbleSize val="0"/>
        </c:dLbls>
        <c:gapWidth val="182"/>
        <c:axId val="1303893760"/>
        <c:axId val="1303892320"/>
      </c:barChart>
      <c:catAx>
        <c:axId val="130389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2320"/>
        <c:crosses val="autoZero"/>
        <c:auto val="1"/>
        <c:lblAlgn val="ctr"/>
        <c:lblOffset val="100"/>
        <c:noMultiLvlLbl val="0"/>
      </c:catAx>
      <c:valAx>
        <c:axId val="1303892320"/>
        <c:scaling>
          <c:orientation val="minMax"/>
        </c:scaling>
        <c:delete val="1"/>
        <c:axPos val="b"/>
        <c:numFmt formatCode="_(&quot;$&quot;* #,##0.00_);_(&quot;$&quot;* \(#,##0.00\);_(&quot;$&quot;* &quot;-&quot;??_);_(@_)" sourceLinked="1"/>
        <c:majorTickMark val="none"/>
        <c:minorTickMark val="none"/>
        <c:tickLblPos val="nextTo"/>
        <c:crossAx val="130389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seasonal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tables'!$C$34</c:f>
              <c:strCache>
                <c:ptCount val="1"/>
                <c:pt idx="0">
                  <c:v>Total</c:v>
                </c:pt>
              </c:strCache>
            </c:strRef>
          </c:tx>
          <c:spPr>
            <a:solidFill>
              <a:schemeClr val="accent1"/>
            </a:solidFill>
            <a:ln>
              <a:noFill/>
            </a:ln>
            <a:effectLst/>
          </c:spPr>
          <c:invertIfNegative val="0"/>
          <c:cat>
            <c:strRef>
              <c:f>'pivot tables'!$B$35:$B$37</c:f>
              <c:strCache>
                <c:ptCount val="2"/>
                <c:pt idx="0">
                  <c:v>Yes</c:v>
                </c:pt>
                <c:pt idx="1">
                  <c:v>No</c:v>
                </c:pt>
              </c:strCache>
            </c:strRef>
          </c:cat>
          <c:val>
            <c:numRef>
              <c:f>'pivot tables'!$C$35:$C$37</c:f>
              <c:numCache>
                <c:formatCode>_("$"* #,##0.00_);_("$"* \(#,##0.00\);_("$"* "-"??_);_(@_)</c:formatCode>
                <c:ptCount val="2"/>
                <c:pt idx="0">
                  <c:v>10178368.299999999</c:v>
                </c:pt>
                <c:pt idx="1">
                  <c:v>9816018.5999999996</c:v>
                </c:pt>
              </c:numCache>
            </c:numRef>
          </c:val>
          <c:extLst>
            <c:ext xmlns:c16="http://schemas.microsoft.com/office/drawing/2014/chart" uri="{C3380CC4-5D6E-409C-BE32-E72D297353CC}">
              <c16:uniqueId val="{00000000-8497-434B-A834-2117D0042029}"/>
            </c:ext>
          </c:extLst>
        </c:ser>
        <c:dLbls>
          <c:showLegendKey val="0"/>
          <c:showVal val="0"/>
          <c:showCatName val="0"/>
          <c:showSerName val="0"/>
          <c:showPercent val="0"/>
          <c:showBubbleSize val="0"/>
        </c:dLbls>
        <c:gapWidth val="182"/>
        <c:axId val="2139683104"/>
        <c:axId val="2139683584"/>
      </c:barChart>
      <c:catAx>
        <c:axId val="213968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3584"/>
        <c:crosses val="autoZero"/>
        <c:auto val="1"/>
        <c:lblAlgn val="ctr"/>
        <c:lblOffset val="100"/>
        <c:noMultiLvlLbl val="0"/>
      </c:catAx>
      <c:valAx>
        <c:axId val="2139683584"/>
        <c:scaling>
          <c:orientation val="minMax"/>
        </c:scaling>
        <c:delete val="0"/>
        <c:axPos val="b"/>
        <c:numFmt formatCode="_(&quot;$&quot;* #,##0.00_);_(&quot;$&quot;* \(#,##0.00\);_(&quot;$&quot;*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8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sales project.xlsx]pivot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tables'!$C$74</c:f>
              <c:strCache>
                <c:ptCount val="1"/>
                <c:pt idx="0">
                  <c:v>Total</c:v>
                </c:pt>
              </c:strCache>
            </c:strRef>
          </c:tx>
          <c:spPr>
            <a:solidFill>
              <a:schemeClr val="accent1"/>
            </a:solidFill>
            <a:ln>
              <a:noFill/>
            </a:ln>
            <a:effectLst/>
          </c:spPr>
          <c:invertIfNegative val="0"/>
          <c:cat>
            <c:strRef>
              <c:f>'pivot tables'!$B$75:$B$80</c:f>
              <c:strCache>
                <c:ptCount val="5"/>
                <c:pt idx="0">
                  <c:v>SLIM FIT SUIT JACKET</c:v>
                </c:pt>
                <c:pt idx="1">
                  <c:v>VINTAGE EFFECT LEATHER BOMBER JACKET</c:v>
                </c:pt>
                <c:pt idx="2">
                  <c:v>WOOL BLEND TEXTURED JACKET</c:v>
                </c:pt>
                <c:pt idx="3">
                  <c:v>HERRINGBONE TEXTURED JACKET</c:v>
                </c:pt>
                <c:pt idx="4">
                  <c:v>STRETCH POCKET OVERSHIRT</c:v>
                </c:pt>
              </c:strCache>
            </c:strRef>
          </c:cat>
          <c:val>
            <c:numRef>
              <c:f>'pivot tables'!$C$75:$C$80</c:f>
              <c:numCache>
                <c:formatCode>_("$"* #,##0.00_);_("$"* \(#,##0.00\);_("$"* "-"??_);_(@_)</c:formatCode>
                <c:ptCount val="5"/>
                <c:pt idx="0">
                  <c:v>675719</c:v>
                </c:pt>
                <c:pt idx="1">
                  <c:v>651521</c:v>
                </c:pt>
                <c:pt idx="2">
                  <c:v>447174</c:v>
                </c:pt>
                <c:pt idx="3">
                  <c:v>432887.6</c:v>
                </c:pt>
                <c:pt idx="4">
                  <c:v>392625.5</c:v>
                </c:pt>
              </c:numCache>
            </c:numRef>
          </c:val>
          <c:extLst>
            <c:ext xmlns:c16="http://schemas.microsoft.com/office/drawing/2014/chart" uri="{C3380CC4-5D6E-409C-BE32-E72D297353CC}">
              <c16:uniqueId val="{00000000-24D8-4095-ABC0-B93C12DFF6C2}"/>
            </c:ext>
          </c:extLst>
        </c:ser>
        <c:dLbls>
          <c:showLegendKey val="0"/>
          <c:showVal val="0"/>
          <c:showCatName val="0"/>
          <c:showSerName val="0"/>
          <c:showPercent val="0"/>
          <c:showBubbleSize val="0"/>
        </c:dLbls>
        <c:gapWidth val="182"/>
        <c:axId val="2035166591"/>
        <c:axId val="2035170431"/>
      </c:barChart>
      <c:catAx>
        <c:axId val="203516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70431"/>
        <c:crosses val="autoZero"/>
        <c:auto val="1"/>
        <c:lblAlgn val="ctr"/>
        <c:lblOffset val="100"/>
        <c:noMultiLvlLbl val="0"/>
      </c:catAx>
      <c:valAx>
        <c:axId val="2035170431"/>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356814</xdr:colOff>
      <xdr:row>0</xdr:row>
      <xdr:rowOff>0</xdr:rowOff>
    </xdr:from>
    <xdr:to>
      <xdr:col>14</xdr:col>
      <xdr:colOff>52014</xdr:colOff>
      <xdr:row>15</xdr:row>
      <xdr:rowOff>0</xdr:rowOff>
    </xdr:to>
    <xdr:graphicFrame macro="">
      <xdr:nvGraphicFramePr>
        <xdr:cNvPr id="2" name="Chart 1">
          <a:extLst>
            <a:ext uri="{FF2B5EF4-FFF2-40B4-BE49-F238E27FC236}">
              <a16:creationId xmlns:a16="http://schemas.microsoft.com/office/drawing/2014/main" id="{F06DBFBC-7CA2-3825-8324-28A9AE005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348089</xdr:colOff>
      <xdr:row>16</xdr:row>
      <xdr:rowOff>17591</xdr:rowOff>
    </xdr:from>
    <xdr:to>
      <xdr:col>14</xdr:col>
      <xdr:colOff>43289</xdr:colOff>
      <xdr:row>31</xdr:row>
      <xdr:rowOff>17591</xdr:rowOff>
    </xdr:to>
    <xdr:graphicFrame macro="">
      <xdr:nvGraphicFramePr>
        <xdr:cNvPr id="4" name="Chart 3">
          <a:extLst>
            <a:ext uri="{FF2B5EF4-FFF2-40B4-BE49-F238E27FC236}">
              <a16:creationId xmlns:a16="http://schemas.microsoft.com/office/drawing/2014/main" id="{83CCFFE3-5277-D0B6-41ED-D816A7FE1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135759</xdr:colOff>
      <xdr:row>22</xdr:row>
      <xdr:rowOff>29779</xdr:rowOff>
    </xdr:from>
    <xdr:to>
      <xdr:col>22</xdr:col>
      <xdr:colOff>416035</xdr:colOff>
      <xdr:row>37</xdr:row>
      <xdr:rowOff>14014</xdr:rowOff>
    </xdr:to>
    <xdr:graphicFrame macro="">
      <xdr:nvGraphicFramePr>
        <xdr:cNvPr id="11" name="Chart 10">
          <a:extLst>
            <a:ext uri="{FF2B5EF4-FFF2-40B4-BE49-F238E27FC236}">
              <a16:creationId xmlns:a16="http://schemas.microsoft.com/office/drawing/2014/main" id="{5B338144-6763-7E1C-41F0-D42027035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467031</xdr:colOff>
      <xdr:row>32</xdr:row>
      <xdr:rowOff>4916</xdr:rowOff>
    </xdr:from>
    <xdr:to>
      <xdr:col>14</xdr:col>
      <xdr:colOff>188451</xdr:colOff>
      <xdr:row>47</xdr:row>
      <xdr:rowOff>44245</xdr:rowOff>
    </xdr:to>
    <xdr:graphicFrame macro="">
      <xdr:nvGraphicFramePr>
        <xdr:cNvPr id="12" name="Chart 11">
          <a:extLst>
            <a:ext uri="{FF2B5EF4-FFF2-40B4-BE49-F238E27FC236}">
              <a16:creationId xmlns:a16="http://schemas.microsoft.com/office/drawing/2014/main" id="{00BBFE65-1D9C-C09C-988D-37619FCB0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290200</xdr:colOff>
      <xdr:row>41</xdr:row>
      <xdr:rowOff>88880</xdr:rowOff>
    </xdr:from>
    <xdr:to>
      <xdr:col>24</xdr:col>
      <xdr:colOff>14778</xdr:colOff>
      <xdr:row>56</xdr:row>
      <xdr:rowOff>77863</xdr:rowOff>
    </xdr:to>
    <xdr:graphicFrame macro="">
      <xdr:nvGraphicFramePr>
        <xdr:cNvPr id="13" name="Chart 12">
          <a:extLst>
            <a:ext uri="{FF2B5EF4-FFF2-40B4-BE49-F238E27FC236}">
              <a16:creationId xmlns:a16="http://schemas.microsoft.com/office/drawing/2014/main" id="{C71D4024-E19C-FE08-2B83-42FE085C1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39077</xdr:colOff>
      <xdr:row>50</xdr:row>
      <xdr:rowOff>5862</xdr:rowOff>
    </xdr:from>
    <xdr:to>
      <xdr:col>14</xdr:col>
      <xdr:colOff>371231</xdr:colOff>
      <xdr:row>64</xdr:row>
      <xdr:rowOff>150446</xdr:rowOff>
    </xdr:to>
    <xdr:graphicFrame macro="">
      <xdr:nvGraphicFramePr>
        <xdr:cNvPr id="14" name="Chart 13">
          <a:extLst>
            <a:ext uri="{FF2B5EF4-FFF2-40B4-BE49-F238E27FC236}">
              <a16:creationId xmlns:a16="http://schemas.microsoft.com/office/drawing/2014/main" id="{886340F7-3A4B-4D56-19CB-6EC944C77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315364</xdr:colOff>
      <xdr:row>60</xdr:row>
      <xdr:rowOff>100484</xdr:rowOff>
    </xdr:from>
    <xdr:to>
      <xdr:col>19</xdr:col>
      <xdr:colOff>142081</xdr:colOff>
      <xdr:row>74</xdr:row>
      <xdr:rowOff>165545</xdr:rowOff>
    </xdr:to>
    <mc:AlternateContent xmlns:mc="http://schemas.openxmlformats.org/markup-compatibility/2006">
      <mc:Choice xmlns:a14="http://schemas.microsoft.com/office/drawing/2010/main" Requires="a14">
        <xdr:graphicFrame macro="">
          <xdr:nvGraphicFramePr>
            <xdr:cNvPr id="15" name="Promotion">
              <a:extLst>
                <a:ext uri="{FF2B5EF4-FFF2-40B4-BE49-F238E27FC236}">
                  <a16:creationId xmlns:a16="http://schemas.microsoft.com/office/drawing/2014/main" id="{E2FAF940-C781-87AB-69DA-3319ED779242}"/>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dr:sp macro="" textlink="">
          <xdr:nvSpPr>
            <xdr:cNvPr id="0" name=""/>
            <xdr:cNvSpPr>
              <a:spLocks noTextEdit="1"/>
            </xdr:cNvSpPr>
          </xdr:nvSpPr>
          <xdr:spPr>
            <a:xfrm>
              <a:off x="13491614" y="10895484"/>
              <a:ext cx="1826967" cy="258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56491</xdr:colOff>
      <xdr:row>76</xdr:row>
      <xdr:rowOff>124195</xdr:rowOff>
    </xdr:from>
    <xdr:to>
      <xdr:col>19</xdr:col>
      <xdr:colOff>551901</xdr:colOff>
      <xdr:row>91</xdr:row>
      <xdr:rowOff>18076</xdr:rowOff>
    </xdr:to>
    <mc:AlternateContent xmlns:mc="http://schemas.openxmlformats.org/markup-compatibility/2006">
      <mc:Choice xmlns:a14="http://schemas.microsoft.com/office/drawing/2010/main" Requires="a14">
        <xdr:graphicFrame macro="">
          <xdr:nvGraphicFramePr>
            <xdr:cNvPr id="16" name="Seasonal">
              <a:extLst>
                <a:ext uri="{FF2B5EF4-FFF2-40B4-BE49-F238E27FC236}">
                  <a16:creationId xmlns:a16="http://schemas.microsoft.com/office/drawing/2014/main" id="{3922D72B-FC3A-5FB6-33A0-8324E39FB6D0}"/>
                </a:ext>
              </a:extLst>
            </xdr:cNvPr>
            <xdr:cNvGraphicFramePr/>
          </xdr:nvGraphicFramePr>
          <xdr:xfrm>
            <a:off x="0" y="0"/>
            <a:ext cx="0" cy="0"/>
          </xdr:xfrm>
          <a:graphic>
            <a:graphicData uri="http://schemas.microsoft.com/office/drawing/2010/slicer">
              <sle:slicer xmlns:sle="http://schemas.microsoft.com/office/drawing/2010/slicer" name="Seasonal"/>
            </a:graphicData>
          </a:graphic>
        </xdr:graphicFrame>
      </mc:Choice>
      <mc:Fallback>
        <xdr:sp macro="" textlink="">
          <xdr:nvSpPr>
            <xdr:cNvPr id="0" name=""/>
            <xdr:cNvSpPr>
              <a:spLocks noTextEdit="1"/>
            </xdr:cNvSpPr>
          </xdr:nvSpPr>
          <xdr:spPr>
            <a:xfrm>
              <a:off x="13899491" y="13797862"/>
              <a:ext cx="1828910" cy="2592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111559</xdr:colOff>
      <xdr:row>61</xdr:row>
      <xdr:rowOff>62834</xdr:rowOff>
    </xdr:from>
    <xdr:to>
      <xdr:col>22</xdr:col>
      <xdr:colOff>606969</xdr:colOff>
      <xdr:row>75</xdr:row>
      <xdr:rowOff>127775</xdr:rowOff>
    </xdr:to>
    <mc:AlternateContent xmlns:mc="http://schemas.openxmlformats.org/markup-compatibility/2006">
      <mc:Choice xmlns:a14="http://schemas.microsoft.com/office/drawing/2010/main" Requires="a14">
        <xdr:graphicFrame macro="">
          <xdr:nvGraphicFramePr>
            <xdr:cNvPr id="17" name="section">
              <a:extLst>
                <a:ext uri="{FF2B5EF4-FFF2-40B4-BE49-F238E27FC236}">
                  <a16:creationId xmlns:a16="http://schemas.microsoft.com/office/drawing/2014/main" id="{B6880105-CB2B-5707-99C9-E4945A076EDE}"/>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dr:sp macro="" textlink="">
          <xdr:nvSpPr>
            <xdr:cNvPr id="0" name=""/>
            <xdr:cNvSpPr>
              <a:spLocks noTextEdit="1"/>
            </xdr:cNvSpPr>
          </xdr:nvSpPr>
          <xdr:spPr>
            <a:xfrm>
              <a:off x="15954809" y="11037751"/>
              <a:ext cx="1828910" cy="2583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22379</xdr:colOff>
      <xdr:row>70</xdr:row>
      <xdr:rowOff>15001</xdr:rowOff>
    </xdr:from>
    <xdr:to>
      <xdr:col>13</xdr:col>
      <xdr:colOff>284850</xdr:colOff>
      <xdr:row>84</xdr:row>
      <xdr:rowOff>144871</xdr:rowOff>
    </xdr:to>
    <xdr:graphicFrame macro="">
      <xdr:nvGraphicFramePr>
        <xdr:cNvPr id="3" name="Chart 2">
          <a:extLst>
            <a:ext uri="{FF2B5EF4-FFF2-40B4-BE49-F238E27FC236}">
              <a16:creationId xmlns:a16="http://schemas.microsoft.com/office/drawing/2014/main" id="{4DEBCA0B-C270-1256-2B4D-520FB790D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438746</xdr:colOff>
      <xdr:row>7</xdr:row>
      <xdr:rowOff>118685</xdr:rowOff>
    </xdr:from>
    <xdr:to>
      <xdr:col>9</xdr:col>
      <xdr:colOff>461837</xdr:colOff>
      <xdr:row>23</xdr:row>
      <xdr:rowOff>72503</xdr:rowOff>
    </xdr:to>
    <xdr:sp macro="" textlink="">
      <xdr:nvSpPr>
        <xdr:cNvPr id="8" name="Rectangle: Rounded Corners 7">
          <a:extLst>
            <a:ext uri="{FF2B5EF4-FFF2-40B4-BE49-F238E27FC236}">
              <a16:creationId xmlns:a16="http://schemas.microsoft.com/office/drawing/2014/main" id="{CBD8DC12-59C2-434B-ADCC-853D89326328}"/>
            </a:ext>
          </a:extLst>
        </xdr:cNvPr>
        <xdr:cNvSpPr/>
      </xdr:nvSpPr>
      <xdr:spPr>
        <a:xfrm>
          <a:off x="1113660" y="1348771"/>
          <a:ext cx="5422406" cy="27405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92382</xdr:colOff>
      <xdr:row>8</xdr:row>
      <xdr:rowOff>111538</xdr:rowOff>
    </xdr:from>
    <xdr:to>
      <xdr:col>9</xdr:col>
      <xdr:colOff>203028</xdr:colOff>
      <xdr:row>21</xdr:row>
      <xdr:rowOff>153269</xdr:rowOff>
    </xdr:to>
    <xdr:graphicFrame macro="">
      <xdr:nvGraphicFramePr>
        <xdr:cNvPr id="9" name="Chart 8">
          <a:extLst>
            <a:ext uri="{FF2B5EF4-FFF2-40B4-BE49-F238E27FC236}">
              <a16:creationId xmlns:a16="http://schemas.microsoft.com/office/drawing/2014/main" id="{C378AE97-A057-42D9-B8EC-E7A8F819E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590435</xdr:colOff>
      <xdr:row>7</xdr:row>
      <xdr:rowOff>117443</xdr:rowOff>
    </xdr:from>
    <xdr:to>
      <xdr:col>18</xdr:col>
      <xdr:colOff>407983</xdr:colOff>
      <xdr:row>23</xdr:row>
      <xdr:rowOff>10119</xdr:rowOff>
    </xdr:to>
    <xdr:sp macro="" textlink="">
      <xdr:nvSpPr>
        <xdr:cNvPr id="10" name="Rectangle: Rounded Corners 9">
          <a:extLst>
            <a:ext uri="{FF2B5EF4-FFF2-40B4-BE49-F238E27FC236}">
              <a16:creationId xmlns:a16="http://schemas.microsoft.com/office/drawing/2014/main" id="{8C1E2283-02EC-E8A7-C538-382F4586AE8B}"/>
            </a:ext>
          </a:extLst>
        </xdr:cNvPr>
        <xdr:cNvSpPr/>
      </xdr:nvSpPr>
      <xdr:spPr>
        <a:xfrm>
          <a:off x="6664664" y="1347529"/>
          <a:ext cx="5891776" cy="267941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255386</xdr:colOff>
      <xdr:row>8</xdr:row>
      <xdr:rowOff>10120</xdr:rowOff>
    </xdr:from>
    <xdr:to>
      <xdr:col>18</xdr:col>
      <xdr:colOff>103111</xdr:colOff>
      <xdr:row>22</xdr:row>
      <xdr:rowOff>131472</xdr:rowOff>
    </xdr:to>
    <xdr:graphicFrame macro="">
      <xdr:nvGraphicFramePr>
        <xdr:cNvPr id="11" name="Chart 10">
          <a:extLst>
            <a:ext uri="{FF2B5EF4-FFF2-40B4-BE49-F238E27FC236}">
              <a16:creationId xmlns:a16="http://schemas.microsoft.com/office/drawing/2014/main" id="{C1527FF3-8596-4F01-A8E0-A0CD3A401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506374</xdr:colOff>
      <xdr:row>7</xdr:row>
      <xdr:rowOff>133464</xdr:rowOff>
    </xdr:from>
    <xdr:to>
      <xdr:col>27</xdr:col>
      <xdr:colOff>323922</xdr:colOff>
      <xdr:row>23</xdr:row>
      <xdr:rowOff>26140</xdr:rowOff>
    </xdr:to>
    <xdr:sp macro="" textlink="">
      <xdr:nvSpPr>
        <xdr:cNvPr id="13" name="Rectangle: Rounded Corners 12">
          <a:extLst>
            <a:ext uri="{FF2B5EF4-FFF2-40B4-BE49-F238E27FC236}">
              <a16:creationId xmlns:a16="http://schemas.microsoft.com/office/drawing/2014/main" id="{9C319D80-59FD-4875-BE82-E2CE20AC04C2}"/>
            </a:ext>
          </a:extLst>
        </xdr:cNvPr>
        <xdr:cNvSpPr/>
      </xdr:nvSpPr>
      <xdr:spPr>
        <a:xfrm>
          <a:off x="12654831" y="1363550"/>
          <a:ext cx="5891777" cy="267941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428028</xdr:colOff>
      <xdr:row>24</xdr:row>
      <xdr:rowOff>65459</xdr:rowOff>
    </xdr:from>
    <xdr:to>
      <xdr:col>9</xdr:col>
      <xdr:colOff>451119</xdr:colOff>
      <xdr:row>40</xdr:row>
      <xdr:rowOff>19277</xdr:rowOff>
    </xdr:to>
    <xdr:sp macro="" textlink="">
      <xdr:nvSpPr>
        <xdr:cNvPr id="15" name="Rectangle: Rounded Corners 14">
          <a:extLst>
            <a:ext uri="{FF2B5EF4-FFF2-40B4-BE49-F238E27FC236}">
              <a16:creationId xmlns:a16="http://schemas.microsoft.com/office/drawing/2014/main" id="{ABF927A6-347B-481E-9572-AFA8B989CCB1}"/>
            </a:ext>
          </a:extLst>
        </xdr:cNvPr>
        <xdr:cNvSpPr/>
      </xdr:nvSpPr>
      <xdr:spPr>
        <a:xfrm>
          <a:off x="1102942" y="4256459"/>
          <a:ext cx="5422406" cy="27405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181286</xdr:colOff>
      <xdr:row>24</xdr:row>
      <xdr:rowOff>123370</xdr:rowOff>
    </xdr:from>
    <xdr:to>
      <xdr:col>9</xdr:col>
      <xdr:colOff>152400</xdr:colOff>
      <xdr:row>39</xdr:row>
      <xdr:rowOff>42084</xdr:rowOff>
    </xdr:to>
    <xdr:graphicFrame macro="">
      <xdr:nvGraphicFramePr>
        <xdr:cNvPr id="16" name="Chart 15">
          <a:extLst>
            <a:ext uri="{FF2B5EF4-FFF2-40B4-BE49-F238E27FC236}">
              <a16:creationId xmlns:a16="http://schemas.microsoft.com/office/drawing/2014/main" id="{8CEC51D3-093C-4F8D-9191-0DB0C99B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624114</xdr:colOff>
      <xdr:row>24</xdr:row>
      <xdr:rowOff>77554</xdr:rowOff>
    </xdr:from>
    <xdr:to>
      <xdr:col>18</xdr:col>
      <xdr:colOff>441662</xdr:colOff>
      <xdr:row>39</xdr:row>
      <xdr:rowOff>151660</xdr:rowOff>
    </xdr:to>
    <xdr:sp macro="" textlink="">
      <xdr:nvSpPr>
        <xdr:cNvPr id="17" name="Rectangle: Rounded Corners 16">
          <a:extLst>
            <a:ext uri="{FF2B5EF4-FFF2-40B4-BE49-F238E27FC236}">
              <a16:creationId xmlns:a16="http://schemas.microsoft.com/office/drawing/2014/main" id="{3C2435EC-6E28-4F74-8334-C8E7829BD659}"/>
            </a:ext>
          </a:extLst>
        </xdr:cNvPr>
        <xdr:cNvSpPr/>
      </xdr:nvSpPr>
      <xdr:spPr>
        <a:xfrm>
          <a:off x="6698343" y="4268554"/>
          <a:ext cx="5891776" cy="26866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345924</xdr:colOff>
      <xdr:row>24</xdr:row>
      <xdr:rowOff>150126</xdr:rowOff>
    </xdr:from>
    <xdr:to>
      <xdr:col>18</xdr:col>
      <xdr:colOff>95871</xdr:colOff>
      <xdr:row>39</xdr:row>
      <xdr:rowOff>135804</xdr:rowOff>
    </xdr:to>
    <xdr:graphicFrame macro="">
      <xdr:nvGraphicFramePr>
        <xdr:cNvPr id="18" name="Chart 17">
          <a:extLst>
            <a:ext uri="{FF2B5EF4-FFF2-40B4-BE49-F238E27FC236}">
              <a16:creationId xmlns:a16="http://schemas.microsoft.com/office/drawing/2014/main" id="{E235C709-85BA-4763-AC78-5860B5AAC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563639</xdr:colOff>
      <xdr:row>24</xdr:row>
      <xdr:rowOff>89649</xdr:rowOff>
    </xdr:from>
    <xdr:to>
      <xdr:col>27</xdr:col>
      <xdr:colOff>381187</xdr:colOff>
      <xdr:row>39</xdr:row>
      <xdr:rowOff>156497</xdr:rowOff>
    </xdr:to>
    <xdr:sp macro="" textlink="">
      <xdr:nvSpPr>
        <xdr:cNvPr id="19" name="Rectangle: Rounded Corners 18">
          <a:extLst>
            <a:ext uri="{FF2B5EF4-FFF2-40B4-BE49-F238E27FC236}">
              <a16:creationId xmlns:a16="http://schemas.microsoft.com/office/drawing/2014/main" id="{4E491001-1A21-4DF1-BF5E-B74A2673E727}"/>
            </a:ext>
          </a:extLst>
        </xdr:cNvPr>
        <xdr:cNvSpPr/>
      </xdr:nvSpPr>
      <xdr:spPr>
        <a:xfrm>
          <a:off x="12712096" y="4280649"/>
          <a:ext cx="5891777" cy="267941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273353</xdr:colOff>
      <xdr:row>24</xdr:row>
      <xdr:rowOff>125935</xdr:rowOff>
    </xdr:from>
    <xdr:to>
      <xdr:col>26</xdr:col>
      <xdr:colOff>601532</xdr:colOff>
      <xdr:row>39</xdr:row>
      <xdr:rowOff>95848</xdr:rowOff>
    </xdr:to>
    <xdr:graphicFrame macro="">
      <xdr:nvGraphicFramePr>
        <xdr:cNvPr id="20" name="Chart 19">
          <a:extLst>
            <a:ext uri="{FF2B5EF4-FFF2-40B4-BE49-F238E27FC236}">
              <a16:creationId xmlns:a16="http://schemas.microsoft.com/office/drawing/2014/main" id="{D87C2140-D9C5-4ED3-A678-2304EA5C8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13369</xdr:colOff>
      <xdr:row>24</xdr:row>
      <xdr:rowOff>119744</xdr:rowOff>
    </xdr:from>
    <xdr:to>
      <xdr:col>30</xdr:col>
      <xdr:colOff>477803</xdr:colOff>
      <xdr:row>29</xdr:row>
      <xdr:rowOff>119744</xdr:rowOff>
    </xdr:to>
    <mc:AlternateContent xmlns:mc="http://schemas.openxmlformats.org/markup-compatibility/2006" xmlns:a14="http://schemas.microsoft.com/office/drawing/2010/main">
      <mc:Choice Requires="a14">
        <xdr:graphicFrame macro="">
          <xdr:nvGraphicFramePr>
            <xdr:cNvPr id="21" name="Promotion 1">
              <a:extLst>
                <a:ext uri="{FF2B5EF4-FFF2-40B4-BE49-F238E27FC236}">
                  <a16:creationId xmlns:a16="http://schemas.microsoft.com/office/drawing/2014/main" id="{1778F873-5DE5-4833-8726-CA7FE675B800}"/>
                </a:ext>
              </a:extLst>
            </xdr:cNvPr>
            <xdr:cNvGraphicFramePr/>
          </xdr:nvGraphicFramePr>
          <xdr:xfrm>
            <a:off x="0" y="0"/>
            <a:ext cx="0" cy="0"/>
          </xdr:xfrm>
          <a:graphic>
            <a:graphicData uri="http://schemas.microsoft.com/office/drawing/2010/slicer">
              <sle:slicer xmlns:sle="http://schemas.microsoft.com/office/drawing/2010/slicer" name="Promotion 1"/>
            </a:graphicData>
          </a:graphic>
        </xdr:graphicFrame>
      </mc:Choice>
      <mc:Fallback xmlns="">
        <xdr:sp macro="" textlink="">
          <xdr:nvSpPr>
            <xdr:cNvPr id="0" name=""/>
            <xdr:cNvSpPr>
              <a:spLocks noTextEdit="1"/>
            </xdr:cNvSpPr>
          </xdr:nvSpPr>
          <xdr:spPr>
            <a:xfrm>
              <a:off x="18875630" y="4371483"/>
              <a:ext cx="1811738" cy="883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19518</xdr:colOff>
      <xdr:row>31</xdr:row>
      <xdr:rowOff>24196</xdr:rowOff>
    </xdr:from>
    <xdr:to>
      <xdr:col>30</xdr:col>
      <xdr:colOff>474870</xdr:colOff>
      <xdr:row>37</xdr:row>
      <xdr:rowOff>28222</xdr:rowOff>
    </xdr:to>
    <mc:AlternateContent xmlns:mc="http://schemas.openxmlformats.org/markup-compatibility/2006" xmlns:a14="http://schemas.microsoft.com/office/drawing/2010/main">
      <mc:Choice Requires="a14">
        <xdr:graphicFrame macro="">
          <xdr:nvGraphicFramePr>
            <xdr:cNvPr id="22" name="Seasonal 1">
              <a:extLst>
                <a:ext uri="{FF2B5EF4-FFF2-40B4-BE49-F238E27FC236}">
                  <a16:creationId xmlns:a16="http://schemas.microsoft.com/office/drawing/2014/main" id="{513B7927-4D10-4475-B7A3-CB2B54B2B648}"/>
                </a:ext>
              </a:extLst>
            </xdr:cNvPr>
            <xdr:cNvGraphicFramePr/>
          </xdr:nvGraphicFramePr>
          <xdr:xfrm>
            <a:off x="0" y="0"/>
            <a:ext cx="0" cy="0"/>
          </xdr:xfrm>
          <a:graphic>
            <a:graphicData uri="http://schemas.microsoft.com/office/drawing/2010/slicer">
              <sle:slicer xmlns:sle="http://schemas.microsoft.com/office/drawing/2010/slicer" name="Seasonal 1"/>
            </a:graphicData>
          </a:graphic>
        </xdr:graphicFrame>
      </mc:Choice>
      <mc:Fallback xmlns="">
        <xdr:sp macro="" textlink="">
          <xdr:nvSpPr>
            <xdr:cNvPr id="0" name=""/>
            <xdr:cNvSpPr>
              <a:spLocks noTextEdit="1"/>
            </xdr:cNvSpPr>
          </xdr:nvSpPr>
          <xdr:spPr>
            <a:xfrm>
              <a:off x="18881779" y="5512805"/>
              <a:ext cx="1802656" cy="106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5903</xdr:colOff>
      <xdr:row>18</xdr:row>
      <xdr:rowOff>102729</xdr:rowOff>
    </xdr:from>
    <xdr:to>
      <xdr:col>30</xdr:col>
      <xdr:colOff>460508</xdr:colOff>
      <xdr:row>23</xdr:row>
      <xdr:rowOff>102728</xdr:rowOff>
    </xdr:to>
    <mc:AlternateContent xmlns:mc="http://schemas.openxmlformats.org/markup-compatibility/2006" xmlns:a14="http://schemas.microsoft.com/office/drawing/2010/main">
      <mc:Choice Requires="a14">
        <xdr:graphicFrame macro="">
          <xdr:nvGraphicFramePr>
            <xdr:cNvPr id="23" name="section 1">
              <a:extLst>
                <a:ext uri="{FF2B5EF4-FFF2-40B4-BE49-F238E27FC236}">
                  <a16:creationId xmlns:a16="http://schemas.microsoft.com/office/drawing/2014/main" id="{E99DE5A0-CA4C-455C-92B7-114F577537AA}"/>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mlns="">
        <xdr:sp macro="" textlink="">
          <xdr:nvSpPr>
            <xdr:cNvPr id="0" name=""/>
            <xdr:cNvSpPr>
              <a:spLocks noTextEdit="1"/>
            </xdr:cNvSpPr>
          </xdr:nvSpPr>
          <xdr:spPr>
            <a:xfrm>
              <a:off x="18868164" y="3294294"/>
              <a:ext cx="1801909" cy="88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649943</xdr:colOff>
      <xdr:row>7</xdr:row>
      <xdr:rowOff>78441</xdr:rowOff>
    </xdr:from>
    <xdr:to>
      <xdr:col>31</xdr:col>
      <xdr:colOff>1</xdr:colOff>
      <xdr:row>16</xdr:row>
      <xdr:rowOff>112059</xdr:rowOff>
    </xdr:to>
    <xdr:sp macro="" textlink="">
      <xdr:nvSpPr>
        <xdr:cNvPr id="24" name="Rectangle: Rounded Corners 23">
          <a:extLst>
            <a:ext uri="{FF2B5EF4-FFF2-40B4-BE49-F238E27FC236}">
              <a16:creationId xmlns:a16="http://schemas.microsoft.com/office/drawing/2014/main" id="{7E1AD3A2-B309-9865-FDFA-1CAF9C8BA6B7}"/>
            </a:ext>
          </a:extLst>
        </xdr:cNvPr>
        <xdr:cNvSpPr/>
      </xdr:nvSpPr>
      <xdr:spPr>
        <a:xfrm>
          <a:off x="18782960" y="1344136"/>
          <a:ext cx="2036431" cy="1660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a:t>
          </a:r>
          <a:r>
            <a:rPr lang="en-US" sz="2400" baseline="0"/>
            <a:t> Sales</a:t>
          </a:r>
          <a:r>
            <a:rPr lang="en-US" sz="1100" b="0" i="0" u="none" strike="noStrike">
              <a:solidFill>
                <a:schemeClr val="lt1"/>
              </a:solidFill>
              <a:effectLst/>
              <a:latin typeface="+mn-lt"/>
              <a:ea typeface="+mn-ea"/>
              <a:cs typeface="+mn-cs"/>
            </a:rPr>
            <a:t> </a:t>
          </a:r>
        </a:p>
        <a:p>
          <a:pPr algn="ctr"/>
          <a:r>
            <a:rPr lang="en-US" sz="1600" b="0" i="0" u="none" strike="noStrike">
              <a:solidFill>
                <a:schemeClr val="lt1"/>
              </a:solidFill>
              <a:effectLst/>
              <a:latin typeface="+mn-lt"/>
              <a:ea typeface="+mn-ea"/>
              <a:cs typeface="+mn-cs"/>
            </a:rPr>
            <a:t>$38,988,476.48</a:t>
          </a:r>
          <a:r>
            <a:rPr lang="en-US" sz="1600">
              <a:effectLst/>
            </a:rPr>
            <a:t> </a:t>
          </a:r>
          <a:endParaRPr lang="en-US" sz="1600"/>
        </a:p>
      </xdr:txBody>
    </xdr:sp>
    <xdr:clientData/>
  </xdr:twoCellAnchor>
  <xdr:twoCellAnchor>
    <xdr:from>
      <xdr:col>18</xdr:col>
      <xdr:colOff>603952</xdr:colOff>
      <xdr:row>9</xdr:row>
      <xdr:rowOff>35625</xdr:rowOff>
    </xdr:from>
    <xdr:to>
      <xdr:col>27</xdr:col>
      <xdr:colOff>347353</xdr:colOff>
      <xdr:row>21</xdr:row>
      <xdr:rowOff>130315</xdr:rowOff>
    </xdr:to>
    <xdr:graphicFrame macro="">
      <xdr:nvGraphicFramePr>
        <xdr:cNvPr id="5" name="Chart 4">
          <a:extLst>
            <a:ext uri="{FF2B5EF4-FFF2-40B4-BE49-F238E27FC236}">
              <a16:creationId xmlns:a16="http://schemas.microsoft.com/office/drawing/2014/main" id="{A5DC944D-046C-4A14-A46D-FD6359F5B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574302</xdr:colOff>
      <xdr:row>8</xdr:row>
      <xdr:rowOff>25831</xdr:rowOff>
    </xdr:from>
    <xdr:to>
      <xdr:col>30</xdr:col>
      <xdr:colOff>106386</xdr:colOff>
      <xdr:row>10</xdr:row>
      <xdr:rowOff>12915</xdr:rowOff>
    </xdr:to>
    <xdr:pic>
      <xdr:nvPicPr>
        <xdr:cNvPr id="7" name="Picture 6">
          <a:extLst>
            <a:ext uri="{FF2B5EF4-FFF2-40B4-BE49-F238E27FC236}">
              <a16:creationId xmlns:a16="http://schemas.microsoft.com/office/drawing/2014/main" id="{2CC97722-35AB-C3D5-F711-D48BC9493FB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400184" y="1460184"/>
          <a:ext cx="876790" cy="345672"/>
        </a:xfrm>
        <a:prstGeom prst="rect">
          <a:avLst/>
        </a:prstGeom>
      </xdr:spPr>
    </xdr:pic>
    <xdr:clientData/>
  </xdr:twoCellAnchor>
  <xdr:twoCellAnchor>
    <xdr:from>
      <xdr:col>6</xdr:col>
      <xdr:colOff>234042</xdr:colOff>
      <xdr:row>1</xdr:row>
      <xdr:rowOff>43543</xdr:rowOff>
    </xdr:from>
    <xdr:to>
      <xdr:col>22</xdr:col>
      <xdr:colOff>522515</xdr:colOff>
      <xdr:row>6</xdr:row>
      <xdr:rowOff>87086</xdr:rowOff>
    </xdr:to>
    <xdr:sp macro="" textlink="">
      <xdr:nvSpPr>
        <xdr:cNvPr id="37" name="Rectangle: Rounded Corners 36">
          <a:extLst>
            <a:ext uri="{FF2B5EF4-FFF2-40B4-BE49-F238E27FC236}">
              <a16:creationId xmlns:a16="http://schemas.microsoft.com/office/drawing/2014/main" id="{1E2B86E1-1931-BD6D-6B6A-76EF7EE0A1E1}"/>
            </a:ext>
          </a:extLst>
        </xdr:cNvPr>
        <xdr:cNvSpPr/>
      </xdr:nvSpPr>
      <xdr:spPr>
        <a:xfrm>
          <a:off x="4283528" y="228600"/>
          <a:ext cx="11087101"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Zara Sales</a:t>
          </a:r>
        </a:p>
      </xdr:txBody>
    </xdr:sp>
    <xdr:clientData/>
  </xdr:twoCellAnchor>
  <xdr:twoCellAnchor>
    <xdr:from>
      <xdr:col>23</xdr:col>
      <xdr:colOff>32657</xdr:colOff>
      <xdr:row>1</xdr:row>
      <xdr:rowOff>43543</xdr:rowOff>
    </xdr:from>
    <xdr:to>
      <xdr:col>26</xdr:col>
      <xdr:colOff>326572</xdr:colOff>
      <xdr:row>6</xdr:row>
      <xdr:rowOff>87086</xdr:rowOff>
    </xdr:to>
    <xdr:sp macro="" textlink="">
      <xdr:nvSpPr>
        <xdr:cNvPr id="39" name="Rectangle: Rounded Corners 38">
          <a:extLst>
            <a:ext uri="{FF2B5EF4-FFF2-40B4-BE49-F238E27FC236}">
              <a16:creationId xmlns:a16="http://schemas.microsoft.com/office/drawing/2014/main" id="{18278725-9044-406D-865A-097362190CF4}"/>
            </a:ext>
          </a:extLst>
        </xdr:cNvPr>
        <xdr:cNvSpPr/>
      </xdr:nvSpPr>
      <xdr:spPr>
        <a:xfrm>
          <a:off x="15555686" y="228600"/>
          <a:ext cx="2318657"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a:t>
          </a:r>
          <a:r>
            <a:rPr lang="en-US" sz="2400" baseline="0"/>
            <a:t> Products : </a:t>
          </a:r>
          <a:r>
            <a:rPr lang="en-US" sz="2400" b="0" i="0" u="none" strike="noStrike">
              <a:solidFill>
                <a:schemeClr val="lt1"/>
              </a:solidFill>
              <a:effectLst/>
              <a:latin typeface="+mn-lt"/>
              <a:ea typeface="+mn-ea"/>
              <a:cs typeface="+mn-cs"/>
            </a:rPr>
            <a:t>459573</a:t>
          </a:r>
          <a:r>
            <a:rPr lang="en-US" sz="2400">
              <a:effectLst/>
            </a:rPr>
            <a:t> </a:t>
          </a:r>
          <a:endParaRPr lang="en-US" sz="2400"/>
        </a:p>
      </xdr:txBody>
    </xdr:sp>
    <xdr:clientData/>
  </xdr:twoCellAnchor>
  <xdr:twoCellAnchor>
    <xdr:from>
      <xdr:col>26</xdr:col>
      <xdr:colOff>544286</xdr:colOff>
      <xdr:row>1</xdr:row>
      <xdr:rowOff>43543</xdr:rowOff>
    </xdr:from>
    <xdr:to>
      <xdr:col>31</xdr:col>
      <xdr:colOff>43543</xdr:colOff>
      <xdr:row>6</xdr:row>
      <xdr:rowOff>87086</xdr:rowOff>
    </xdr:to>
    <xdr:sp macro="" textlink="">
      <xdr:nvSpPr>
        <xdr:cNvPr id="40" name="Rectangle: Rounded Corners 39">
          <a:extLst>
            <a:ext uri="{FF2B5EF4-FFF2-40B4-BE49-F238E27FC236}">
              <a16:creationId xmlns:a16="http://schemas.microsoft.com/office/drawing/2014/main" id="{1BF9D4B8-ADC0-47D2-B1FD-D736D7401114}"/>
            </a:ext>
          </a:extLst>
        </xdr:cNvPr>
        <xdr:cNvSpPr/>
      </xdr:nvSpPr>
      <xdr:spPr>
        <a:xfrm>
          <a:off x="18092057" y="228600"/>
          <a:ext cx="2873829"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Average Price</a:t>
          </a:r>
          <a:r>
            <a:rPr lang="en-US" sz="2000" baseline="0"/>
            <a:t> : </a:t>
          </a:r>
          <a:r>
            <a:rPr lang="en-US" sz="2000" b="0" i="0" u="none" strike="noStrike">
              <a:solidFill>
                <a:schemeClr val="lt1"/>
              </a:solidFill>
              <a:effectLst/>
              <a:latin typeface="+mn-lt"/>
              <a:ea typeface="+mn-ea"/>
              <a:cs typeface="+mn-cs"/>
            </a:rPr>
            <a:t>                $ 86.25 </a:t>
          </a:r>
          <a:endParaRPr lang="en-US" sz="2000"/>
        </a:p>
      </xdr:txBody>
    </xdr:sp>
    <xdr:clientData/>
  </xdr:twoCellAnchor>
  <xdr:twoCellAnchor>
    <xdr:from>
      <xdr:col>2</xdr:col>
      <xdr:colOff>0</xdr:colOff>
      <xdr:row>1</xdr:row>
      <xdr:rowOff>65315</xdr:rowOff>
    </xdr:from>
    <xdr:to>
      <xdr:col>6</xdr:col>
      <xdr:colOff>87085</xdr:colOff>
      <xdr:row>6</xdr:row>
      <xdr:rowOff>108858</xdr:rowOff>
    </xdr:to>
    <xdr:sp macro="" textlink="">
      <xdr:nvSpPr>
        <xdr:cNvPr id="41" name="Rectangle: Rounded Corners 40">
          <a:extLst>
            <a:ext uri="{FF2B5EF4-FFF2-40B4-BE49-F238E27FC236}">
              <a16:creationId xmlns:a16="http://schemas.microsoft.com/office/drawing/2014/main" id="{85DA3FED-7CB3-414B-9D12-121825C93125}"/>
            </a:ext>
          </a:extLst>
        </xdr:cNvPr>
        <xdr:cNvSpPr/>
      </xdr:nvSpPr>
      <xdr:spPr>
        <a:xfrm>
          <a:off x="1349829" y="250372"/>
          <a:ext cx="2786742"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aseline="0"/>
            <a:t>Most sub-category in sales : </a:t>
          </a:r>
          <a:r>
            <a:rPr lang="en-US" sz="2400" b="0" i="0" u="none" strike="noStrike" baseline="0">
              <a:solidFill>
                <a:schemeClr val="lt1"/>
              </a:solidFill>
              <a:effectLst/>
              <a:latin typeface="+mn-lt"/>
              <a:ea typeface="+mn-ea"/>
              <a:cs typeface="+mn-cs"/>
            </a:rPr>
            <a:t>Jackets</a:t>
          </a:r>
          <a:r>
            <a:rPr lang="en-US" sz="2400">
              <a:effectLst/>
            </a:rPr>
            <a:t> </a:t>
          </a:r>
          <a:endParaRPr lang="en-US" sz="2400"/>
        </a:p>
      </xdr:txBody>
    </xdr:sp>
    <xdr:clientData/>
  </xdr:twoCellAnchor>
  <xdr:twoCellAnchor editAs="oneCell">
    <xdr:from>
      <xdr:col>10</xdr:col>
      <xdr:colOff>130629</xdr:colOff>
      <xdr:row>2</xdr:row>
      <xdr:rowOff>108857</xdr:rowOff>
    </xdr:from>
    <xdr:to>
      <xdr:col>11</xdr:col>
      <xdr:colOff>225298</xdr:colOff>
      <xdr:row>5</xdr:row>
      <xdr:rowOff>54429</xdr:rowOff>
    </xdr:to>
    <xdr:pic>
      <xdr:nvPicPr>
        <xdr:cNvPr id="43" name="Picture 42">
          <a:extLst>
            <a:ext uri="{FF2B5EF4-FFF2-40B4-BE49-F238E27FC236}">
              <a16:creationId xmlns:a16="http://schemas.microsoft.com/office/drawing/2014/main" id="{F14C9249-56DC-C5C2-FF50-1E44E9DED5A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79772" y="468086"/>
          <a:ext cx="769583" cy="4680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5996.18506851852" createdVersion="8" refreshedVersion="8" minRefreshableVersion="3" recordCount="252" xr:uid="{27432B7B-A4B9-40D0-9CCC-3EF0F03244ED}">
  <cacheSource type="worksheet">
    <worksheetSource name="zara"/>
  </cacheSource>
  <cacheFields count="11">
    <cacheField name="Product name" numFmtId="0">
      <sharedItems count="195">
        <s v="BASIC PUFFER JACKET"/>
        <s v="TUXEDO JACKET"/>
        <s v="SLIM FIT SUIT JACKET"/>
        <s v="STRETCH SUIT JACKET"/>
        <s v="DOUBLE FACED JACKET"/>
        <s v="CONTRASTING COLLAR JACKET"/>
        <s v="FAUX LEATHER PUFFER JACKET"/>
        <s v="SUIT JACKET IN 100% LINEN"/>
        <s v="100% WOOL SUIT JACKET"/>
        <s v="100% FEATHER FILL PUFFER JACKET"/>
        <s v="HERRINGBONE TEXTURED JACKET"/>
        <s v="OVERSIZED CROPPED JACKET LIMITED EDITION"/>
        <s v="LEATHER BIKER JACKET"/>
        <s v="CROPPED LEATHER JACKET"/>
        <s v="FAUX LEATHER BOXY FIT JACKET"/>
        <s v="FAUX LEATHER JACKET"/>
        <s v="FAUX SUEDE BOMBER JACKET"/>
        <s v="DENIM BOMBER JACKET"/>
        <s v="BOUCLÃ‰ TEXTURED JACKET"/>
        <s v="JACQUARD DENIM JACKET"/>
        <s v="PADDED DENIM JACKET"/>
        <s v="LEATHER JACKET"/>
        <s v="LIGHTWEIGHT BOMBER JACKET"/>
        <s v="SUIT JACKET"/>
        <s v="FAUX LEATHER BOMBER JACKET"/>
        <s v="PATCH BOMBER JACKET"/>
        <s v="STRETCH POCKET OVERSHIRT"/>
        <s v="RIB COLLAR JACKET"/>
        <s v="FAUX LEATHER OVERSIZED JACKET LIMITED EDITION"/>
        <s v="CONTRASTING PATCHES BOMBER JACKET"/>
        <s v="CROPPED BOMBER JACKET LIMITED EDITION"/>
        <s v="BOMBER JACKET"/>
        <s v="FAUX SUEDE JACKET"/>
        <s v="SUEDE JACKET"/>
        <s v="TEXTURED JACKET"/>
        <s v="CROPPED TEXTURED JACKET"/>
        <s v="POCKET PUFFER JACKET"/>
        <s v="TECHNICAL JACKET WITH POCKETS"/>
        <s v="RIPPED DENIM JACKET"/>
        <s v="TEXTURED POCKET JACKET"/>
        <s v="FAUX SUEDE PATCH JACKET"/>
        <s v="PUFFER JACKET WITH POUCH POCKET"/>
        <s v="TEXTURED WEAVE OVERSHIRT"/>
        <s v="STRAIGHT SUIT JACKET"/>
        <s v="HOODED QUILTED JACKET"/>
        <s v="LIGHTWEIGHT PUFFER JACKET"/>
        <s v="COTTON BLEND BOMBER JACKET"/>
        <s v="POCKET JACKET"/>
        <s v="OVERSIZED BOMBER JACKET"/>
        <s v="EMBROIDERED PATCH JACKET"/>
        <s v="ACID WASH DENIM JACKET"/>
        <s v="VINTAGE EFFECT LEATHER BOMBER JACKET"/>
        <s v="TEXTURED DENIM JACKET LIMITED EDITION"/>
        <s v="WOOL BLEND JACKET"/>
        <s v="COTTON - LINEN BLEND JACKET"/>
        <s v="FLEECE BOMBER JACKET"/>
        <s v="ZIPPERED JACKET"/>
        <s v="COTTON JACKET"/>
        <s v="WOOL BLEND TEXTURED JACKET"/>
        <s v="CONTRAST JACQUARD JACKET"/>
        <s v="CROPPED OVERSHIRT"/>
        <s v="CONTRASTING PATCHES HOODED JACKET"/>
        <s v="UTILITY POCKET JACKET"/>
        <s v=""/>
        <s v="TECHNICAL PADDED JACKET"/>
        <s v="MIXED COLLAR WAXED JACKET"/>
        <s v="PADDED BOMBER JACKET"/>
        <s v="POCKET DENIM JACKET"/>
        <s v="BOXY FIT DENIM JACKET"/>
        <s v="FAUX SHEARLING PLAID JACKET"/>
        <s v="EMBROIDERED FOREST JACKET"/>
        <s v="POCKET OVERSHIRT"/>
        <s v="BOUCLE TEXTURED VEST"/>
        <s v="COLOR BLOCK PUFFER JACKET"/>
        <s v="LONGLINE QUILTED JACKET"/>
        <s v="WOOL BLEND SUIT JACKET"/>
        <s v="HOODED KNIT CARDIGAN"/>
        <s v="HOODED TECHNICAL JACKET"/>
        <s v="HOUNDSTOOTH SUIT JACKET"/>
        <s v="WASHED EFFECT BOMBER JACKET"/>
        <s v="WASHED TECHNICAL JACKET"/>
        <s v="MIXED COLLAR JACKET"/>
        <s v="HOODED DENIM JACKET"/>
        <s v="WAXED EFFECT PLAID JACKET"/>
        <s v="WOOL BLEND FELT TEXTURE JACKET"/>
        <s v="PRINTED DENIM OVERSHIRT"/>
        <s v="STRUCTURED TWILL OVERSHIRT"/>
        <s v="COTTON OVERSHIRT"/>
        <s v="REVERSIBLE PLAID OVERSHIRT"/>
        <s v="PLAID OVERSHIRT"/>
        <s v="100% LINEN OVERSHIRT"/>
        <s v="POCKET DENIM OVERSHIRT"/>
        <s v="FAUX SUEDE OVERSHIRT"/>
        <s v="TEXTURED POCKET OVERSHIRT"/>
        <s v="OVERSHIRT"/>
        <s v="ZIPPERED WOOL BLEND OVERSHIRT"/>
        <s v="GEOMETRIC JACQUARD OVERSHIRT"/>
        <s v="PAINT PRINT OVERSHIRT"/>
        <s v="PADDED CORDUROY OVERSHIRT"/>
        <s v="PLAID TIE DYE OVERSHIRT"/>
        <s v="OVERSHIRT WITH CONTRASTING TOPSTITCHING"/>
        <s v="QUILTED STRUCTURED OVERSHIRT"/>
        <s v="TECHNICAL OVERSHIRT"/>
        <s v="SUEDE FISHERMAN SANDALS"/>
        <s v="ZIPPER MULTIPIECE SNEAKERS"/>
        <s v="SUEDE LACELESS SNEAKERS"/>
        <s v="MULTICOLOR SNEAKERS"/>
        <s v="RETRO RUNNING SNEAKERS"/>
        <s v="SUEDE HIGH-TOPS"/>
        <s v="SUEDE STRAP SANDALS"/>
        <s v="MULTIPIECE SNEAKERS"/>
        <s v="TOPSTITCH SNEAKERS"/>
        <s v="RETRO SNEAKERS"/>
        <s v="RETRO HIGH TOP SNEAKERS"/>
        <s v="MULTI-PIECED RETRO SNEAKERS"/>
        <s v="TASSEL LEATHER LOAFERS"/>
        <s v="MOC-TOE SUEDE BOOTS"/>
        <s v="STRAP SANDALS"/>
        <s v="SUEDE RETRO SNEAKERS"/>
        <s v="HIKING BOOTS"/>
        <s v="SUEDE SNEAKERS"/>
        <s v="FAUX SHEARLING LINED SUEDE BOOTS"/>
        <s v="CHUNKY SNEAKERS"/>
        <s v="DOUBLE STRAP SUEDE SANDALS"/>
        <s v="CHUNKY SOLE CANVAS LACE-UP BOOTS"/>
        <s v="SUEDE PENNY LOAFERS"/>
        <s v="ADHERENT STRIPES SNEAKERS"/>
        <s v="CHUNKY SOLE HIGH TOP SNEAKERS"/>
        <s v="CONTRAST SOLE LEATHER SNEAKERS"/>
        <s v="SUEDE RUNNING SNEAKERS"/>
        <s v="WOVEN LEATHER SLIDES"/>
        <s v="ASYMMETRIC CROPPED KNIT SWEATER"/>
        <s v="KNIT SWEATER WITH PEARLS"/>
        <s v="HIGH COLLAR KNIT SWEATER"/>
        <s v="STRIPED KNIT SWEATER"/>
        <s v="CABLE KNIT METALLIC SWEATER"/>
        <s v="ASYMMETRICAL WOOL AND SILK BLEND SWEATER"/>
        <s v="WOOL AND CASHMERE BLEND RIB SWEATER"/>
        <s v="ALPACA AND WOOL BLEND TIE DYE KNIT SWEATER"/>
        <s v="MOCK NECK WOOL AND SILK BLEND KNIT TOP"/>
        <s v="CASHMERE BLEND KNIT SWEATER"/>
        <s v="ALPACA BLEND OPEN KNIT SWEATER"/>
        <s v="OVERSIZED KNIT SWEATER"/>
        <s v="WOOL BLEND KNIT SWEATER"/>
        <s v="SOFT JEWEL SWEATER"/>
        <s v="FAUX FUR JEWEL SWEATER"/>
        <s v="METAL BEAD KNIT SWEATER"/>
        <s v="KNIT SWEATER WITH BUTTONS"/>
        <s v="JEWEL KNIT SWEATER"/>
        <s v="KNIT SWEATER WITH PIPING"/>
        <s v="FINE KNIT CROP SWEATER"/>
        <s v="KNIT SWEATER WITH RIPS"/>
        <s v="GATHERED WAIST KNIT SWEATER"/>
        <s v="KNIT V-NECK SWEATER"/>
        <s v="BASIC FOIL KNIT SWEATER"/>
        <s v="CONTRAST TOPSTITCHING CROP KNIT SWEATER"/>
        <s v="STRIPED CROP KNIT SWEATER"/>
        <s v="BASIC KNIT SWEATER"/>
        <s v="V-NECK KNIT SWEATER"/>
        <s v="FOIL KNIT CROP SWEATER"/>
        <s v="BASIC 100% WOOL SWEATER"/>
        <s v="COLORBLOCK KNIT CROP SWEATER"/>
        <s v="FINE KNIT SWEATER"/>
        <s v="KNIT OPEN BACK PEARLY SWEATER"/>
        <s v="KNIT PEARL SWEATER"/>
        <s v="STRIPED TEXTURED OVERSHIRT"/>
        <s v="FLEECE OVERSHIRT"/>
        <s v="BAGGY FIT JEANS LIMITED EDITION"/>
        <s v="BAGGY BELTED JEANS"/>
        <s v="BAGGY FIT JEANS"/>
        <s v="FLARED FIT CARGO JEANS"/>
        <s v="PLEATED WIDE FIT JEANS"/>
        <s v="DENIM SHIRT"/>
        <s v="RIPPED STRAIGHT FIT JEANS"/>
        <s v="TEXTURED SWEATER"/>
        <s v="PURL KNIT SWEATER"/>
        <s v="BRAIDED COLOR BLOCK SWEATER"/>
        <s v="CONTRAST INTERIOR SWEATER"/>
        <s v="ABSTRACT JACQUARD SWEATER"/>
        <s v="BASIC SLIM FIT T-SHIRT"/>
        <s v="CROPPED WASHED T-SHIRT"/>
        <s v="BASIC HEAVYWEIGHT T-SHIRT"/>
        <s v="HEART PRINT T-SHIRT"/>
        <s v="TEXT T-SHIRT"/>
        <s v="PRINTED CROPPED FIT SHIRT LIMITED EDITION"/>
        <s v="RIBBED KNIT T-SHIRT"/>
        <s v="OVERSIZE FIT T-SHIRT"/>
        <s v="BASIC MEDIUM WEIGHT T-SHIRT"/>
        <s v="STRUCTURED TEXT T-SHIRT"/>
        <s v="ABSTRACT PRINT T-SHIRT"/>
        <s v="RAISED TEXT T-SHIRT LIMITED EDITION"/>
        <s v="SEMI-SHEER KNIT SHIRT LIMITED EDITION"/>
        <s v="VISCOSE BLEND KNIT T-SHIRT"/>
        <s v="STRIPED JACQUARD T-SHIRT"/>
        <s v="ABSTRACT PRINT KNIT T-SHIRT"/>
      </sharedItems>
    </cacheField>
    <cacheField name="Product Category" numFmtId="0">
      <sharedItems/>
    </cacheField>
    <cacheField name="Sub-category" numFmtId="0">
      <sharedItems count="5">
        <s v="jackets"/>
        <s v="shoes"/>
        <s v="sweaters"/>
        <s v="jeans"/>
        <s v="t-shirts"/>
      </sharedItems>
    </cacheField>
    <cacheField name="Promotion" numFmtId="0">
      <sharedItems count="2">
        <s v="No"/>
        <s v="Yes"/>
      </sharedItems>
    </cacheField>
    <cacheField name="Product Position" numFmtId="0">
      <sharedItems count="3">
        <s v="Aisle"/>
        <s v="End-cap"/>
        <s v="Front of Store"/>
      </sharedItems>
    </cacheField>
    <cacheField name="Seasonal" numFmtId="0">
      <sharedItems count="2">
        <s v="No"/>
        <s v="Yes"/>
      </sharedItems>
    </cacheField>
    <cacheField name="Sales Volume" numFmtId="0">
      <sharedItems containsSemiMixedTypes="0" containsString="0" containsNumber="1" containsInteger="1" minValue="529" maxValue="2989"/>
    </cacheField>
    <cacheField name="price" numFmtId="0">
      <sharedItems containsSemiMixedTypes="0" containsString="0" containsNumber="1" minValue="7.99" maxValue="439"/>
    </cacheField>
    <cacheField name="Total sales" numFmtId="0">
      <sharedItems containsSemiMixedTypes="0" containsString="0" containsNumber="1" minValue="4330.58" maxValue="651521"/>
    </cacheField>
    <cacheField name="currency" numFmtId="0">
      <sharedItems/>
    </cacheField>
    <cacheField name="section" numFmtId="0">
      <sharedItems count="2">
        <s v="MAN"/>
        <s v="WOMAN"/>
      </sharedItems>
    </cacheField>
  </cacheFields>
  <extLst>
    <ext xmlns:x14="http://schemas.microsoft.com/office/spreadsheetml/2009/9/main" uri="{725AE2AE-9491-48be-B2B4-4EB974FC3084}">
      <x14:pivotCacheDefinition pivotCacheId="735393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s v="Clothing"/>
    <x v="0"/>
    <x v="0"/>
    <x v="0"/>
    <x v="0"/>
    <n v="2823"/>
    <n v="19.989999999999998"/>
    <n v="56431.77"/>
    <s v="USD"/>
    <x v="0"/>
  </r>
  <r>
    <x v="1"/>
    <s v="Clothing"/>
    <x v="0"/>
    <x v="0"/>
    <x v="0"/>
    <x v="0"/>
    <n v="654"/>
    <n v="169"/>
    <n v="110526"/>
    <s v="USD"/>
    <x v="0"/>
  </r>
  <r>
    <x v="2"/>
    <s v="Clothing"/>
    <x v="0"/>
    <x v="1"/>
    <x v="1"/>
    <x v="1"/>
    <n v="2220"/>
    <n v="129"/>
    <n v="286380"/>
    <s v="USD"/>
    <x v="0"/>
  </r>
  <r>
    <x v="3"/>
    <s v="Clothing"/>
    <x v="0"/>
    <x v="1"/>
    <x v="0"/>
    <x v="1"/>
    <n v="1568"/>
    <n v="129"/>
    <n v="202272"/>
    <s v="USD"/>
    <x v="0"/>
  </r>
  <r>
    <x v="4"/>
    <s v="Clothing"/>
    <x v="0"/>
    <x v="0"/>
    <x v="1"/>
    <x v="1"/>
    <n v="2942"/>
    <n v="139"/>
    <n v="408938"/>
    <s v="USD"/>
    <x v="0"/>
  </r>
  <r>
    <x v="5"/>
    <s v="Clothing"/>
    <x v="0"/>
    <x v="0"/>
    <x v="1"/>
    <x v="0"/>
    <n v="2968"/>
    <n v="79.900000000000006"/>
    <n v="237143.2"/>
    <s v="USD"/>
    <x v="0"/>
  </r>
  <r>
    <x v="6"/>
    <s v="Clothing"/>
    <x v="0"/>
    <x v="1"/>
    <x v="2"/>
    <x v="1"/>
    <n v="952"/>
    <n v="69.989999999999995"/>
    <n v="66630.48"/>
    <s v="USD"/>
    <x v="0"/>
  </r>
  <r>
    <x v="7"/>
    <s v="Clothing"/>
    <x v="0"/>
    <x v="0"/>
    <x v="0"/>
    <x v="0"/>
    <n v="2421"/>
    <n v="159"/>
    <n v="384939"/>
    <s v="USD"/>
    <x v="0"/>
  </r>
  <r>
    <x v="8"/>
    <s v="Clothing"/>
    <x v="0"/>
    <x v="1"/>
    <x v="0"/>
    <x v="1"/>
    <n v="1916"/>
    <n v="169"/>
    <n v="323804"/>
    <s v="USD"/>
    <x v="0"/>
  </r>
  <r>
    <x v="9"/>
    <s v="Clothing"/>
    <x v="0"/>
    <x v="0"/>
    <x v="0"/>
    <x v="1"/>
    <n v="656"/>
    <n v="169"/>
    <n v="110864"/>
    <s v="USD"/>
    <x v="0"/>
  </r>
  <r>
    <x v="10"/>
    <s v="Clothing"/>
    <x v="0"/>
    <x v="1"/>
    <x v="0"/>
    <x v="1"/>
    <n v="2663"/>
    <n v="129"/>
    <n v="343527"/>
    <s v="USD"/>
    <x v="0"/>
  </r>
  <r>
    <x v="11"/>
    <s v="Clothing"/>
    <x v="0"/>
    <x v="1"/>
    <x v="0"/>
    <x v="1"/>
    <n v="1260"/>
    <n v="159"/>
    <n v="200340"/>
    <s v="USD"/>
    <x v="0"/>
  </r>
  <r>
    <x v="12"/>
    <s v="Clothing"/>
    <x v="0"/>
    <x v="1"/>
    <x v="0"/>
    <x v="0"/>
    <n v="2124"/>
    <n v="169"/>
    <n v="358956"/>
    <s v="USD"/>
    <x v="0"/>
  </r>
  <r>
    <x v="13"/>
    <s v="Clothing"/>
    <x v="0"/>
    <x v="1"/>
    <x v="2"/>
    <x v="1"/>
    <n v="729"/>
    <n v="439"/>
    <n v="320031"/>
    <s v="USD"/>
    <x v="0"/>
  </r>
  <r>
    <x v="14"/>
    <s v="Clothing"/>
    <x v="0"/>
    <x v="1"/>
    <x v="0"/>
    <x v="1"/>
    <n v="2265"/>
    <n v="99.9"/>
    <n v="226273.5"/>
    <s v="USD"/>
    <x v="0"/>
  </r>
  <r>
    <x v="15"/>
    <s v="Clothing"/>
    <x v="0"/>
    <x v="0"/>
    <x v="1"/>
    <x v="0"/>
    <n v="2226"/>
    <n v="99.9"/>
    <n v="222377.4"/>
    <s v="USD"/>
    <x v="0"/>
  </r>
  <r>
    <x v="16"/>
    <s v="Clothing"/>
    <x v="0"/>
    <x v="0"/>
    <x v="0"/>
    <x v="0"/>
    <n v="2089"/>
    <n v="69.900000000000006"/>
    <n v="146021.1"/>
    <s v="USD"/>
    <x v="0"/>
  </r>
  <r>
    <x v="17"/>
    <s v="Clothing"/>
    <x v="0"/>
    <x v="1"/>
    <x v="2"/>
    <x v="1"/>
    <n v="2339"/>
    <n v="129"/>
    <n v="301731"/>
    <s v="USD"/>
    <x v="0"/>
  </r>
  <r>
    <x v="18"/>
    <s v="Clothing"/>
    <x v="0"/>
    <x v="0"/>
    <x v="0"/>
    <x v="1"/>
    <n v="2321"/>
    <n v="129"/>
    <n v="299409"/>
    <s v="USD"/>
    <x v="0"/>
  </r>
  <r>
    <x v="7"/>
    <s v="Clothing"/>
    <x v="0"/>
    <x v="0"/>
    <x v="1"/>
    <x v="0"/>
    <n v="669"/>
    <n v="159"/>
    <n v="106371"/>
    <s v="USD"/>
    <x v="0"/>
  </r>
  <r>
    <x v="19"/>
    <s v="Clothing"/>
    <x v="0"/>
    <x v="1"/>
    <x v="1"/>
    <x v="1"/>
    <n v="1712"/>
    <n v="109"/>
    <n v="186608"/>
    <s v="USD"/>
    <x v="0"/>
  </r>
  <r>
    <x v="20"/>
    <s v="Clothing"/>
    <x v="0"/>
    <x v="0"/>
    <x v="2"/>
    <x v="1"/>
    <n v="1832"/>
    <n v="89.9"/>
    <n v="164696.79999999999"/>
    <s v="USD"/>
    <x v="0"/>
  </r>
  <r>
    <x v="21"/>
    <s v="Clothing"/>
    <x v="0"/>
    <x v="1"/>
    <x v="0"/>
    <x v="0"/>
    <n v="1290"/>
    <n v="299"/>
    <n v="385710"/>
    <s v="USD"/>
    <x v="0"/>
  </r>
  <r>
    <x v="22"/>
    <s v="Clothing"/>
    <x v="0"/>
    <x v="0"/>
    <x v="1"/>
    <x v="0"/>
    <n v="2356"/>
    <n v="49.9"/>
    <n v="117564.4"/>
    <s v="USD"/>
    <x v="0"/>
  </r>
  <r>
    <x v="23"/>
    <s v="Clothing"/>
    <x v="0"/>
    <x v="1"/>
    <x v="2"/>
    <x v="0"/>
    <n v="1524"/>
    <n v="169"/>
    <n v="257556"/>
    <s v="USD"/>
    <x v="0"/>
  </r>
  <r>
    <x v="24"/>
    <s v="Clothing"/>
    <x v="0"/>
    <x v="1"/>
    <x v="2"/>
    <x v="0"/>
    <n v="1644"/>
    <n v="69.900000000000006"/>
    <n v="114915.6"/>
    <s v="USD"/>
    <x v="0"/>
  </r>
  <r>
    <x v="25"/>
    <s v="Clothing"/>
    <x v="0"/>
    <x v="0"/>
    <x v="1"/>
    <x v="0"/>
    <n v="966"/>
    <n v="89.9"/>
    <n v="86843.4"/>
    <s v="USD"/>
    <x v="0"/>
  </r>
  <r>
    <x v="26"/>
    <s v="Clothing"/>
    <x v="0"/>
    <x v="1"/>
    <x v="2"/>
    <x v="1"/>
    <n v="2575"/>
    <n v="59.9"/>
    <n v="154242.5"/>
    <s v="USD"/>
    <x v="0"/>
  </r>
  <r>
    <x v="27"/>
    <s v="Clothing"/>
    <x v="0"/>
    <x v="0"/>
    <x v="2"/>
    <x v="0"/>
    <n v="2774"/>
    <n v="109"/>
    <n v="302366"/>
    <s v="USD"/>
    <x v="0"/>
  </r>
  <r>
    <x v="28"/>
    <s v="Clothing"/>
    <x v="0"/>
    <x v="1"/>
    <x v="2"/>
    <x v="0"/>
    <n v="2477"/>
    <n v="159"/>
    <n v="393843"/>
    <s v="USD"/>
    <x v="0"/>
  </r>
  <r>
    <x v="29"/>
    <s v="Clothing"/>
    <x v="0"/>
    <x v="0"/>
    <x v="2"/>
    <x v="1"/>
    <n v="2608"/>
    <n v="129"/>
    <n v="336432"/>
    <s v="USD"/>
    <x v="0"/>
  </r>
  <r>
    <x v="25"/>
    <s v="Clothing"/>
    <x v="0"/>
    <x v="1"/>
    <x v="0"/>
    <x v="1"/>
    <n v="2252"/>
    <n v="129"/>
    <n v="290508"/>
    <s v="USD"/>
    <x v="0"/>
  </r>
  <r>
    <x v="30"/>
    <s v="Clothing"/>
    <x v="0"/>
    <x v="1"/>
    <x v="1"/>
    <x v="0"/>
    <n v="2074"/>
    <n v="129"/>
    <n v="267546"/>
    <s v="USD"/>
    <x v="0"/>
  </r>
  <r>
    <x v="6"/>
    <s v="Clothing"/>
    <x v="0"/>
    <x v="1"/>
    <x v="1"/>
    <x v="0"/>
    <n v="2579"/>
    <n v="109"/>
    <n v="281111"/>
    <s v="USD"/>
    <x v="0"/>
  </r>
  <r>
    <x v="24"/>
    <s v="Clothing"/>
    <x v="0"/>
    <x v="1"/>
    <x v="0"/>
    <x v="0"/>
    <n v="2931"/>
    <n v="109"/>
    <n v="319479"/>
    <s v="USD"/>
    <x v="0"/>
  </r>
  <r>
    <x v="31"/>
    <s v="Clothing"/>
    <x v="0"/>
    <x v="0"/>
    <x v="1"/>
    <x v="1"/>
    <n v="1145"/>
    <n v="109"/>
    <n v="124805"/>
    <s v="USD"/>
    <x v="0"/>
  </r>
  <r>
    <x v="32"/>
    <s v="Clothing"/>
    <x v="0"/>
    <x v="0"/>
    <x v="1"/>
    <x v="0"/>
    <n v="1792"/>
    <n v="89.9"/>
    <n v="161100.79999999999"/>
    <s v="USD"/>
    <x v="0"/>
  </r>
  <r>
    <x v="16"/>
    <s v="Clothing"/>
    <x v="0"/>
    <x v="0"/>
    <x v="0"/>
    <x v="1"/>
    <n v="1796"/>
    <n v="69.900000000000006"/>
    <n v="125540.4"/>
    <s v="USD"/>
    <x v="0"/>
  </r>
  <r>
    <x v="33"/>
    <s v="Clothing"/>
    <x v="0"/>
    <x v="0"/>
    <x v="0"/>
    <x v="0"/>
    <n v="1860"/>
    <n v="349"/>
    <n v="649140"/>
    <s v="USD"/>
    <x v="0"/>
  </r>
  <r>
    <x v="5"/>
    <s v="Clothing"/>
    <x v="0"/>
    <x v="1"/>
    <x v="1"/>
    <x v="1"/>
    <n v="1002"/>
    <n v="79.900000000000006"/>
    <n v="80059.8"/>
    <s v="USD"/>
    <x v="0"/>
  </r>
  <r>
    <x v="34"/>
    <s v="Clothing"/>
    <x v="0"/>
    <x v="0"/>
    <x v="2"/>
    <x v="1"/>
    <n v="2063"/>
    <n v="79.900000000000006"/>
    <n v="164833.70000000001"/>
    <s v="USD"/>
    <x v="0"/>
  </r>
  <r>
    <x v="35"/>
    <s v="Clothing"/>
    <x v="0"/>
    <x v="0"/>
    <x v="0"/>
    <x v="0"/>
    <n v="1165"/>
    <n v="89.9"/>
    <n v="104733.5"/>
    <s v="USD"/>
    <x v="0"/>
  </r>
  <r>
    <x v="36"/>
    <s v="Clothing"/>
    <x v="0"/>
    <x v="1"/>
    <x v="0"/>
    <x v="0"/>
    <n v="2071"/>
    <n v="129"/>
    <n v="267159"/>
    <s v="USD"/>
    <x v="0"/>
  </r>
  <r>
    <x v="37"/>
    <s v="Clothing"/>
    <x v="0"/>
    <x v="0"/>
    <x v="1"/>
    <x v="0"/>
    <n v="1474"/>
    <n v="109"/>
    <n v="160666"/>
    <s v="USD"/>
    <x v="0"/>
  </r>
  <r>
    <x v="15"/>
    <s v="Clothing"/>
    <x v="0"/>
    <x v="0"/>
    <x v="1"/>
    <x v="0"/>
    <n v="2202"/>
    <n v="69.900000000000006"/>
    <n v="153919.79999999999"/>
    <s v="USD"/>
    <x v="0"/>
  </r>
  <r>
    <x v="32"/>
    <s v="Clothing"/>
    <x v="0"/>
    <x v="0"/>
    <x v="0"/>
    <x v="0"/>
    <n v="665"/>
    <n v="89.9"/>
    <n v="59783.5"/>
    <s v="USD"/>
    <x v="0"/>
  </r>
  <r>
    <x v="38"/>
    <s v="Clothing"/>
    <x v="0"/>
    <x v="0"/>
    <x v="2"/>
    <x v="0"/>
    <n v="2478"/>
    <n v="69.900000000000006"/>
    <n v="173212.2"/>
    <s v="USD"/>
    <x v="0"/>
  </r>
  <r>
    <x v="39"/>
    <s v="Clothing"/>
    <x v="0"/>
    <x v="1"/>
    <x v="1"/>
    <x v="0"/>
    <n v="647"/>
    <n v="89.9"/>
    <n v="58165.3"/>
    <s v="USD"/>
    <x v="0"/>
  </r>
  <r>
    <x v="40"/>
    <s v="Clothing"/>
    <x v="0"/>
    <x v="1"/>
    <x v="2"/>
    <x v="0"/>
    <n v="707"/>
    <n v="89.9"/>
    <n v="63559.3"/>
    <s v="USD"/>
    <x v="0"/>
  </r>
  <r>
    <x v="41"/>
    <s v="Clothing"/>
    <x v="0"/>
    <x v="1"/>
    <x v="1"/>
    <x v="0"/>
    <n v="2729"/>
    <n v="89.9"/>
    <n v="245337.1"/>
    <s v="USD"/>
    <x v="0"/>
  </r>
  <r>
    <x v="31"/>
    <s v="Clothing"/>
    <x v="0"/>
    <x v="0"/>
    <x v="2"/>
    <x v="0"/>
    <n v="1590"/>
    <n v="89.9"/>
    <n v="142941"/>
    <s v="USD"/>
    <x v="0"/>
  </r>
  <r>
    <x v="42"/>
    <s v="Clothing"/>
    <x v="0"/>
    <x v="1"/>
    <x v="1"/>
    <x v="0"/>
    <n v="1245"/>
    <n v="89.9"/>
    <n v="111925.5"/>
    <s v="USD"/>
    <x v="0"/>
  </r>
  <r>
    <x v="43"/>
    <s v="Clothing"/>
    <x v="0"/>
    <x v="0"/>
    <x v="2"/>
    <x v="1"/>
    <n v="2498"/>
    <n v="129"/>
    <n v="322242"/>
    <s v="USD"/>
    <x v="0"/>
  </r>
  <r>
    <x v="44"/>
    <s v="Clothing"/>
    <x v="0"/>
    <x v="0"/>
    <x v="2"/>
    <x v="1"/>
    <n v="1041"/>
    <n v="129"/>
    <n v="134289"/>
    <s v="USD"/>
    <x v="0"/>
  </r>
  <r>
    <x v="45"/>
    <s v="Clothing"/>
    <x v="0"/>
    <x v="0"/>
    <x v="1"/>
    <x v="1"/>
    <n v="1717"/>
    <n v="19.989999999999998"/>
    <n v="34322.83"/>
    <s v="USD"/>
    <x v="0"/>
  </r>
  <r>
    <x v="46"/>
    <s v="Clothing"/>
    <x v="0"/>
    <x v="1"/>
    <x v="2"/>
    <x v="1"/>
    <n v="2859"/>
    <n v="89.9"/>
    <n v="257024.1"/>
    <s v="USD"/>
    <x v="0"/>
  </r>
  <r>
    <x v="47"/>
    <s v="Clothing"/>
    <x v="0"/>
    <x v="1"/>
    <x v="0"/>
    <x v="0"/>
    <n v="1658"/>
    <n v="129"/>
    <n v="213882"/>
    <s v="USD"/>
    <x v="0"/>
  </r>
  <r>
    <x v="48"/>
    <s v="Clothing"/>
    <x v="0"/>
    <x v="0"/>
    <x v="1"/>
    <x v="1"/>
    <n v="706"/>
    <n v="89.9"/>
    <n v="63469.4"/>
    <s v="USD"/>
    <x v="0"/>
  </r>
  <r>
    <x v="49"/>
    <s v="Clothing"/>
    <x v="0"/>
    <x v="1"/>
    <x v="1"/>
    <x v="1"/>
    <n v="2065"/>
    <n v="79.900000000000006"/>
    <n v="164993.5"/>
    <s v="USD"/>
    <x v="0"/>
  </r>
  <r>
    <x v="50"/>
    <s v="Clothing"/>
    <x v="0"/>
    <x v="0"/>
    <x v="2"/>
    <x v="1"/>
    <n v="1917"/>
    <n v="89.9"/>
    <n v="172338.3"/>
    <s v="USD"/>
    <x v="0"/>
  </r>
  <r>
    <x v="51"/>
    <s v="Clothing"/>
    <x v="0"/>
    <x v="1"/>
    <x v="1"/>
    <x v="1"/>
    <n v="2179"/>
    <n v="299"/>
    <n v="651521"/>
    <s v="USD"/>
    <x v="0"/>
  </r>
  <r>
    <x v="52"/>
    <s v="Clothing"/>
    <x v="0"/>
    <x v="0"/>
    <x v="2"/>
    <x v="0"/>
    <n v="1633"/>
    <n v="89.9"/>
    <n v="146806.70000000001"/>
    <s v="USD"/>
    <x v="0"/>
  </r>
  <r>
    <x v="53"/>
    <s v="Clothing"/>
    <x v="0"/>
    <x v="1"/>
    <x v="0"/>
    <x v="1"/>
    <n v="1513"/>
    <n v="109"/>
    <n v="164917"/>
    <s v="USD"/>
    <x v="0"/>
  </r>
  <r>
    <x v="54"/>
    <s v="Clothing"/>
    <x v="0"/>
    <x v="1"/>
    <x v="0"/>
    <x v="1"/>
    <n v="758"/>
    <n v="109"/>
    <n v="82622"/>
    <s v="USD"/>
    <x v="0"/>
  </r>
  <r>
    <x v="55"/>
    <s v="Clothing"/>
    <x v="0"/>
    <x v="1"/>
    <x v="1"/>
    <x v="0"/>
    <n v="718"/>
    <n v="109"/>
    <n v="78262"/>
    <s v="USD"/>
    <x v="0"/>
  </r>
  <r>
    <x v="56"/>
    <s v="Clothing"/>
    <x v="0"/>
    <x v="0"/>
    <x v="0"/>
    <x v="1"/>
    <n v="1412"/>
    <n v="59.9"/>
    <n v="84578.8"/>
    <s v="USD"/>
    <x v="0"/>
  </r>
  <r>
    <x v="57"/>
    <s v="Clothing"/>
    <x v="0"/>
    <x v="0"/>
    <x v="0"/>
    <x v="0"/>
    <n v="2929"/>
    <n v="29.99"/>
    <n v="87840.71"/>
    <s v="USD"/>
    <x v="0"/>
  </r>
  <r>
    <x v="58"/>
    <s v="Clothing"/>
    <x v="0"/>
    <x v="1"/>
    <x v="1"/>
    <x v="1"/>
    <n v="2366"/>
    <n v="189"/>
    <n v="447174"/>
    <s v="USD"/>
    <x v="0"/>
  </r>
  <r>
    <x v="59"/>
    <s v="Clothing"/>
    <x v="0"/>
    <x v="0"/>
    <x v="0"/>
    <x v="0"/>
    <n v="2749"/>
    <n v="89.9"/>
    <n v="247135.1"/>
    <s v="USD"/>
    <x v="0"/>
  </r>
  <r>
    <x v="60"/>
    <s v="Clothing"/>
    <x v="0"/>
    <x v="0"/>
    <x v="2"/>
    <x v="0"/>
    <n v="2019"/>
    <n v="69.900000000000006"/>
    <n v="141128.1"/>
    <s v="USD"/>
    <x v="0"/>
  </r>
  <r>
    <x v="61"/>
    <s v="Clothing"/>
    <x v="0"/>
    <x v="0"/>
    <x v="0"/>
    <x v="1"/>
    <n v="1506"/>
    <n v="109"/>
    <n v="164154"/>
    <s v="USD"/>
    <x v="0"/>
  </r>
  <r>
    <x v="62"/>
    <s v="Clothing"/>
    <x v="0"/>
    <x v="0"/>
    <x v="1"/>
    <x v="0"/>
    <n v="1012"/>
    <n v="109"/>
    <n v="110308"/>
    <s v="USD"/>
    <x v="0"/>
  </r>
  <r>
    <x v="63"/>
    <s v="Clothing"/>
    <x v="0"/>
    <x v="1"/>
    <x v="1"/>
    <x v="0"/>
    <n v="1838"/>
    <n v="129"/>
    <n v="237102"/>
    <s v="USD"/>
    <x v="0"/>
  </r>
  <r>
    <x v="22"/>
    <s v="Clothing"/>
    <x v="0"/>
    <x v="1"/>
    <x v="0"/>
    <x v="0"/>
    <n v="2170"/>
    <n v="49.9"/>
    <n v="108283"/>
    <s v="USD"/>
    <x v="0"/>
  </r>
  <r>
    <x v="53"/>
    <s v="Clothing"/>
    <x v="0"/>
    <x v="0"/>
    <x v="2"/>
    <x v="1"/>
    <n v="1061"/>
    <n v="139"/>
    <n v="147479"/>
    <s v="USD"/>
    <x v="0"/>
  </r>
  <r>
    <x v="64"/>
    <s v="Clothing"/>
    <x v="0"/>
    <x v="1"/>
    <x v="2"/>
    <x v="0"/>
    <n v="786"/>
    <n v="139"/>
    <n v="109254"/>
    <s v="USD"/>
    <x v="0"/>
  </r>
  <r>
    <x v="65"/>
    <s v="Clothing"/>
    <x v="0"/>
    <x v="0"/>
    <x v="2"/>
    <x v="0"/>
    <n v="1094"/>
    <n v="139"/>
    <n v="152066"/>
    <s v="USD"/>
    <x v="0"/>
  </r>
  <r>
    <x v="29"/>
    <s v="Clothing"/>
    <x v="0"/>
    <x v="1"/>
    <x v="1"/>
    <x v="1"/>
    <n v="2220"/>
    <n v="89.9"/>
    <n v="199578"/>
    <s v="USD"/>
    <x v="0"/>
  </r>
  <r>
    <x v="66"/>
    <s v="Clothing"/>
    <x v="0"/>
    <x v="0"/>
    <x v="2"/>
    <x v="1"/>
    <n v="2048"/>
    <n v="89.9"/>
    <n v="184115.20000000001"/>
    <s v="USD"/>
    <x v="0"/>
  </r>
  <r>
    <x v="64"/>
    <s v="Clothing"/>
    <x v="0"/>
    <x v="0"/>
    <x v="0"/>
    <x v="0"/>
    <n v="2578"/>
    <n v="89.9"/>
    <n v="231762.2"/>
    <s v="USD"/>
    <x v="0"/>
  </r>
  <r>
    <x v="67"/>
    <s v="Clothing"/>
    <x v="0"/>
    <x v="1"/>
    <x v="1"/>
    <x v="0"/>
    <n v="2040"/>
    <n v="89.9"/>
    <n v="183396"/>
    <s v="USD"/>
    <x v="0"/>
  </r>
  <r>
    <x v="68"/>
    <s v="Clothing"/>
    <x v="0"/>
    <x v="0"/>
    <x v="0"/>
    <x v="0"/>
    <n v="2791"/>
    <n v="89.9"/>
    <n v="250910.9"/>
    <s v="USD"/>
    <x v="0"/>
  </r>
  <r>
    <x v="69"/>
    <s v="Clothing"/>
    <x v="0"/>
    <x v="1"/>
    <x v="0"/>
    <x v="1"/>
    <n v="1249"/>
    <n v="89.9"/>
    <n v="112285.1"/>
    <s v="USD"/>
    <x v="0"/>
  </r>
  <r>
    <x v="70"/>
    <s v="Clothing"/>
    <x v="0"/>
    <x v="1"/>
    <x v="2"/>
    <x v="1"/>
    <n v="2273"/>
    <n v="89.9"/>
    <n v="204342.7"/>
    <s v="USD"/>
    <x v="0"/>
  </r>
  <r>
    <x v="71"/>
    <s v="Clothing"/>
    <x v="0"/>
    <x v="1"/>
    <x v="2"/>
    <x v="0"/>
    <n v="1773"/>
    <n v="89.9"/>
    <n v="159392.70000000001"/>
    <s v="USD"/>
    <x v="0"/>
  </r>
  <r>
    <x v="72"/>
    <s v="Clothing"/>
    <x v="0"/>
    <x v="1"/>
    <x v="0"/>
    <x v="1"/>
    <n v="1733"/>
    <n v="69.900000000000006"/>
    <n v="121136.7"/>
    <s v="USD"/>
    <x v="0"/>
  </r>
  <r>
    <x v="73"/>
    <s v="Clothing"/>
    <x v="0"/>
    <x v="1"/>
    <x v="1"/>
    <x v="0"/>
    <n v="2060"/>
    <n v="89.9"/>
    <n v="185194"/>
    <s v="USD"/>
    <x v="0"/>
  </r>
  <r>
    <x v="74"/>
    <s v="Clothing"/>
    <x v="0"/>
    <x v="0"/>
    <x v="0"/>
    <x v="1"/>
    <n v="2849"/>
    <n v="169"/>
    <n v="481481"/>
    <s v="USD"/>
    <x v="0"/>
  </r>
  <r>
    <x v="75"/>
    <s v="Clothing"/>
    <x v="0"/>
    <x v="1"/>
    <x v="0"/>
    <x v="0"/>
    <n v="2277"/>
    <n v="169"/>
    <n v="384813"/>
    <s v="USD"/>
    <x v="0"/>
  </r>
  <r>
    <x v="76"/>
    <s v="Clothing"/>
    <x v="0"/>
    <x v="0"/>
    <x v="0"/>
    <x v="1"/>
    <n v="1135"/>
    <n v="69.900000000000006"/>
    <n v="79336.5"/>
    <s v="USD"/>
    <x v="0"/>
  </r>
  <r>
    <x v="77"/>
    <s v="Clothing"/>
    <x v="0"/>
    <x v="0"/>
    <x v="0"/>
    <x v="0"/>
    <n v="1770"/>
    <n v="19.989999999999998"/>
    <n v="35382.300000000003"/>
    <s v="USD"/>
    <x v="0"/>
  </r>
  <r>
    <x v="78"/>
    <s v="Clothing"/>
    <x v="0"/>
    <x v="0"/>
    <x v="1"/>
    <x v="0"/>
    <n v="730"/>
    <n v="139"/>
    <n v="101470"/>
    <s v="USD"/>
    <x v="0"/>
  </r>
  <r>
    <x v="31"/>
    <s v="Clothing"/>
    <x v="0"/>
    <x v="0"/>
    <x v="0"/>
    <x v="0"/>
    <n v="1525"/>
    <n v="109"/>
    <n v="166225"/>
    <s v="USD"/>
    <x v="0"/>
  </r>
  <r>
    <x v="77"/>
    <s v="Clothing"/>
    <x v="0"/>
    <x v="0"/>
    <x v="2"/>
    <x v="1"/>
    <n v="647"/>
    <n v="109"/>
    <n v="70523"/>
    <s v="USD"/>
    <x v="0"/>
  </r>
  <r>
    <x v="77"/>
    <s v="Clothing"/>
    <x v="0"/>
    <x v="1"/>
    <x v="1"/>
    <x v="1"/>
    <n v="1017"/>
    <n v="109"/>
    <n v="110853"/>
    <s v="USD"/>
    <x v="0"/>
  </r>
  <r>
    <x v="79"/>
    <s v="Clothing"/>
    <x v="0"/>
    <x v="0"/>
    <x v="2"/>
    <x v="0"/>
    <n v="1622"/>
    <n v="109"/>
    <n v="176798"/>
    <s v="USD"/>
    <x v="0"/>
  </r>
  <r>
    <x v="80"/>
    <s v="Clothing"/>
    <x v="0"/>
    <x v="1"/>
    <x v="2"/>
    <x v="1"/>
    <n v="2553"/>
    <n v="99.9"/>
    <n v="255044.7"/>
    <s v="USD"/>
    <x v="0"/>
  </r>
  <r>
    <x v="9"/>
    <s v="Clothing"/>
    <x v="0"/>
    <x v="0"/>
    <x v="1"/>
    <x v="0"/>
    <n v="2347"/>
    <n v="89.9"/>
    <n v="210995.3"/>
    <s v="USD"/>
    <x v="0"/>
  </r>
  <r>
    <x v="66"/>
    <s v="Clothing"/>
    <x v="0"/>
    <x v="0"/>
    <x v="0"/>
    <x v="1"/>
    <n v="2535"/>
    <n v="69.900000000000006"/>
    <n v="177196.5"/>
    <s v="USD"/>
    <x v="0"/>
  </r>
  <r>
    <x v="47"/>
    <s v="Clothing"/>
    <x v="0"/>
    <x v="0"/>
    <x v="0"/>
    <x v="1"/>
    <n v="2839"/>
    <n v="139"/>
    <n v="394621"/>
    <s v="USD"/>
    <x v="0"/>
  </r>
  <r>
    <x v="2"/>
    <s v="Clothing"/>
    <x v="0"/>
    <x v="1"/>
    <x v="2"/>
    <x v="1"/>
    <n v="2801"/>
    <n v="139"/>
    <n v="389339"/>
    <s v="USD"/>
    <x v="0"/>
  </r>
  <r>
    <x v="81"/>
    <s v="Clothing"/>
    <x v="0"/>
    <x v="1"/>
    <x v="2"/>
    <x v="1"/>
    <n v="628"/>
    <n v="109"/>
    <n v="68452"/>
    <s v="USD"/>
    <x v="0"/>
  </r>
  <r>
    <x v="82"/>
    <s v="Clothing"/>
    <x v="0"/>
    <x v="1"/>
    <x v="1"/>
    <x v="0"/>
    <n v="1448"/>
    <n v="129"/>
    <n v="186792"/>
    <s v="USD"/>
    <x v="0"/>
  </r>
  <r>
    <x v="83"/>
    <s v="Clothing"/>
    <x v="0"/>
    <x v="1"/>
    <x v="0"/>
    <x v="0"/>
    <n v="1401"/>
    <n v="169"/>
    <n v="236769"/>
    <s v="USD"/>
    <x v="0"/>
  </r>
  <r>
    <x v="84"/>
    <s v="Clothing"/>
    <x v="0"/>
    <x v="1"/>
    <x v="2"/>
    <x v="1"/>
    <n v="2185"/>
    <n v="159"/>
    <n v="347415"/>
    <s v="USD"/>
    <x v="0"/>
  </r>
  <r>
    <x v="85"/>
    <s v="Clothing"/>
    <x v="0"/>
    <x v="1"/>
    <x v="2"/>
    <x v="0"/>
    <n v="2135"/>
    <n v="12.99"/>
    <n v="27733.65"/>
    <s v="USD"/>
    <x v="0"/>
  </r>
  <r>
    <x v="86"/>
    <s v="Clothing"/>
    <x v="0"/>
    <x v="1"/>
    <x v="2"/>
    <x v="0"/>
    <n v="1269"/>
    <n v="89.9"/>
    <n v="114083.1"/>
    <s v="USD"/>
    <x v="0"/>
  </r>
  <r>
    <x v="87"/>
    <s v="Clothing"/>
    <x v="0"/>
    <x v="0"/>
    <x v="2"/>
    <x v="0"/>
    <n v="2805"/>
    <n v="89.9"/>
    <n v="252169.5"/>
    <s v="USD"/>
    <x v="0"/>
  </r>
  <r>
    <x v="88"/>
    <s v="Clothing"/>
    <x v="0"/>
    <x v="1"/>
    <x v="0"/>
    <x v="0"/>
    <n v="1796"/>
    <n v="79.900000000000006"/>
    <n v="143500.4"/>
    <s v="USD"/>
    <x v="0"/>
  </r>
  <r>
    <x v="89"/>
    <s v="Clothing"/>
    <x v="0"/>
    <x v="1"/>
    <x v="1"/>
    <x v="0"/>
    <n v="2133"/>
    <n v="69.900000000000006"/>
    <n v="149096.70000000001"/>
    <s v="USD"/>
    <x v="0"/>
  </r>
  <r>
    <x v="71"/>
    <s v="Clothing"/>
    <x v="0"/>
    <x v="0"/>
    <x v="0"/>
    <x v="0"/>
    <n v="1778"/>
    <n v="89.9"/>
    <n v="159842.20000000001"/>
    <s v="USD"/>
    <x v="0"/>
  </r>
  <r>
    <x v="90"/>
    <s v="Clothing"/>
    <x v="0"/>
    <x v="1"/>
    <x v="1"/>
    <x v="0"/>
    <n v="2474"/>
    <n v="89.9"/>
    <n v="222412.6"/>
    <s v="USD"/>
    <x v="0"/>
  </r>
  <r>
    <x v="89"/>
    <s v="Clothing"/>
    <x v="0"/>
    <x v="0"/>
    <x v="0"/>
    <x v="1"/>
    <n v="2032"/>
    <n v="59.9"/>
    <n v="121716.8"/>
    <s v="USD"/>
    <x v="0"/>
  </r>
  <r>
    <x v="91"/>
    <s v="Clothing"/>
    <x v="0"/>
    <x v="0"/>
    <x v="0"/>
    <x v="1"/>
    <n v="1659"/>
    <n v="89.9"/>
    <n v="149144.1"/>
    <s v="USD"/>
    <x v="0"/>
  </r>
  <r>
    <x v="92"/>
    <s v="Clothing"/>
    <x v="0"/>
    <x v="1"/>
    <x v="1"/>
    <x v="1"/>
    <n v="2443"/>
    <n v="69.900000000000006"/>
    <n v="170765.7"/>
    <s v="USD"/>
    <x v="0"/>
  </r>
  <r>
    <x v="89"/>
    <s v="Clothing"/>
    <x v="0"/>
    <x v="0"/>
    <x v="0"/>
    <x v="1"/>
    <n v="1137"/>
    <n v="69.900000000000006"/>
    <n v="79476.3"/>
    <s v="USD"/>
    <x v="0"/>
  </r>
  <r>
    <x v="93"/>
    <s v="Clothing"/>
    <x v="0"/>
    <x v="0"/>
    <x v="1"/>
    <x v="1"/>
    <n v="1847"/>
    <n v="69.900000000000006"/>
    <n v="129105.3"/>
    <s v="USD"/>
    <x v="0"/>
  </r>
  <r>
    <x v="71"/>
    <s v="Clothing"/>
    <x v="0"/>
    <x v="1"/>
    <x v="1"/>
    <x v="1"/>
    <n v="2404"/>
    <n v="109"/>
    <n v="262036"/>
    <s v="USD"/>
    <x v="0"/>
  </r>
  <r>
    <x v="94"/>
    <s v="Clothing"/>
    <x v="0"/>
    <x v="0"/>
    <x v="1"/>
    <x v="1"/>
    <n v="1466"/>
    <n v="59.9"/>
    <n v="87813.4"/>
    <s v="USD"/>
    <x v="0"/>
  </r>
  <r>
    <x v="89"/>
    <s v="Clothing"/>
    <x v="0"/>
    <x v="0"/>
    <x v="2"/>
    <x v="0"/>
    <n v="2328"/>
    <n v="59.9"/>
    <n v="139447.20000000001"/>
    <s v="USD"/>
    <x v="0"/>
  </r>
  <r>
    <x v="71"/>
    <s v="Clothing"/>
    <x v="0"/>
    <x v="0"/>
    <x v="1"/>
    <x v="1"/>
    <n v="1431"/>
    <n v="59.9"/>
    <n v="85716.9"/>
    <s v="USD"/>
    <x v="0"/>
  </r>
  <r>
    <x v="95"/>
    <s v="Clothing"/>
    <x v="0"/>
    <x v="0"/>
    <x v="1"/>
    <x v="1"/>
    <n v="1506"/>
    <n v="109"/>
    <n v="164154"/>
    <s v="USD"/>
    <x v="0"/>
  </r>
  <r>
    <x v="96"/>
    <s v="Clothing"/>
    <x v="0"/>
    <x v="0"/>
    <x v="1"/>
    <x v="1"/>
    <n v="2749"/>
    <n v="89.9"/>
    <n v="247135.1"/>
    <s v="USD"/>
    <x v="0"/>
  </r>
  <r>
    <x v="97"/>
    <s v="Clothing"/>
    <x v="0"/>
    <x v="1"/>
    <x v="2"/>
    <x v="1"/>
    <n v="2434"/>
    <n v="19.989999999999998"/>
    <n v="48655.66"/>
    <s v="USD"/>
    <x v="0"/>
  </r>
  <r>
    <x v="98"/>
    <s v="Clothing"/>
    <x v="0"/>
    <x v="0"/>
    <x v="2"/>
    <x v="1"/>
    <n v="2067"/>
    <n v="79.900000000000006"/>
    <n v="165153.29999999999"/>
    <s v="USD"/>
    <x v="0"/>
  </r>
  <r>
    <x v="99"/>
    <s v="Clothing"/>
    <x v="0"/>
    <x v="1"/>
    <x v="0"/>
    <x v="1"/>
    <n v="2989"/>
    <n v="19.989999999999998"/>
    <n v="59750.11"/>
    <s v="USD"/>
    <x v="0"/>
  </r>
  <r>
    <x v="100"/>
    <s v="Clothing"/>
    <x v="0"/>
    <x v="1"/>
    <x v="2"/>
    <x v="0"/>
    <n v="743"/>
    <n v="59.9"/>
    <n v="44505.7"/>
    <s v="USD"/>
    <x v="0"/>
  </r>
  <r>
    <x v="101"/>
    <s v="Clothing"/>
    <x v="0"/>
    <x v="0"/>
    <x v="2"/>
    <x v="0"/>
    <n v="2325"/>
    <n v="109"/>
    <n v="253425"/>
    <s v="USD"/>
    <x v="0"/>
  </r>
  <r>
    <x v="102"/>
    <s v="Clothing"/>
    <x v="0"/>
    <x v="0"/>
    <x v="1"/>
    <x v="1"/>
    <n v="1841"/>
    <n v="109"/>
    <n v="200669"/>
    <s v="USD"/>
    <x v="0"/>
  </r>
  <r>
    <x v="89"/>
    <s v="Clothing"/>
    <x v="0"/>
    <x v="1"/>
    <x v="0"/>
    <x v="1"/>
    <n v="2231"/>
    <n v="49.9"/>
    <n v="111326.9"/>
    <s v="USD"/>
    <x v="0"/>
  </r>
  <r>
    <x v="103"/>
    <s v="Clothing"/>
    <x v="1"/>
    <x v="0"/>
    <x v="0"/>
    <x v="1"/>
    <n v="2211"/>
    <n v="89.9"/>
    <n v="198768.9"/>
    <s v="USD"/>
    <x v="0"/>
  </r>
  <r>
    <x v="104"/>
    <s v="Clothing"/>
    <x v="1"/>
    <x v="0"/>
    <x v="1"/>
    <x v="0"/>
    <n v="2114"/>
    <n v="69.900000000000006"/>
    <n v="147768.6"/>
    <s v="USD"/>
    <x v="0"/>
  </r>
  <r>
    <x v="105"/>
    <s v="Clothing"/>
    <x v="1"/>
    <x v="1"/>
    <x v="0"/>
    <x v="1"/>
    <n v="1350"/>
    <n v="69.900000000000006"/>
    <n v="94365"/>
    <s v="USD"/>
    <x v="0"/>
  </r>
  <r>
    <x v="106"/>
    <s v="Clothing"/>
    <x v="1"/>
    <x v="0"/>
    <x v="1"/>
    <x v="0"/>
    <n v="2240"/>
    <n v="69.900000000000006"/>
    <n v="156576"/>
    <s v="USD"/>
    <x v="0"/>
  </r>
  <r>
    <x v="107"/>
    <s v="Clothing"/>
    <x v="1"/>
    <x v="1"/>
    <x v="1"/>
    <x v="0"/>
    <n v="1296"/>
    <n v="59.9"/>
    <n v="77630.399999999994"/>
    <s v="USD"/>
    <x v="0"/>
  </r>
  <r>
    <x v="108"/>
    <s v="Clothing"/>
    <x v="1"/>
    <x v="1"/>
    <x v="1"/>
    <x v="1"/>
    <n v="892"/>
    <n v="59.9"/>
    <n v="53430.8"/>
    <s v="USD"/>
    <x v="0"/>
  </r>
  <r>
    <x v="109"/>
    <s v="Clothing"/>
    <x v="1"/>
    <x v="0"/>
    <x v="1"/>
    <x v="1"/>
    <n v="1678"/>
    <n v="49.9"/>
    <n v="83732.2"/>
    <s v="USD"/>
    <x v="0"/>
  </r>
  <r>
    <x v="110"/>
    <s v="Clothing"/>
    <x v="1"/>
    <x v="0"/>
    <x v="1"/>
    <x v="0"/>
    <n v="2016"/>
    <n v="49.9"/>
    <n v="100598.39999999999"/>
    <s v="USD"/>
    <x v="0"/>
  </r>
  <r>
    <x v="111"/>
    <s v="Clothing"/>
    <x v="1"/>
    <x v="0"/>
    <x v="2"/>
    <x v="1"/>
    <n v="1498"/>
    <n v="45.9"/>
    <n v="68758.2"/>
    <s v="USD"/>
    <x v="0"/>
  </r>
  <r>
    <x v="112"/>
    <s v="Clothing"/>
    <x v="1"/>
    <x v="0"/>
    <x v="0"/>
    <x v="1"/>
    <n v="2491"/>
    <n v="9.99"/>
    <n v="24885.09"/>
    <s v="USD"/>
    <x v="0"/>
  </r>
  <r>
    <x v="113"/>
    <s v="Clothing"/>
    <x v="1"/>
    <x v="0"/>
    <x v="0"/>
    <x v="0"/>
    <n v="2556"/>
    <n v="9.99"/>
    <n v="25534.44"/>
    <s v="USD"/>
    <x v="0"/>
  </r>
  <r>
    <x v="114"/>
    <s v="Clothing"/>
    <x v="1"/>
    <x v="1"/>
    <x v="0"/>
    <x v="0"/>
    <n v="2852"/>
    <n v="45.9"/>
    <n v="130906.8"/>
    <s v="USD"/>
    <x v="0"/>
  </r>
  <r>
    <x v="115"/>
    <s v="Clothing"/>
    <x v="1"/>
    <x v="1"/>
    <x v="0"/>
    <x v="0"/>
    <n v="1899"/>
    <n v="99.9"/>
    <n v="189710.1"/>
    <s v="USD"/>
    <x v="0"/>
  </r>
  <r>
    <x v="116"/>
    <s v="Clothing"/>
    <x v="1"/>
    <x v="1"/>
    <x v="2"/>
    <x v="0"/>
    <n v="2466"/>
    <n v="89.9"/>
    <n v="221693.4"/>
    <s v="USD"/>
    <x v="0"/>
  </r>
  <r>
    <x v="117"/>
    <s v="Clothing"/>
    <x v="1"/>
    <x v="0"/>
    <x v="0"/>
    <x v="0"/>
    <n v="818"/>
    <n v="45.9"/>
    <n v="37546.199999999997"/>
    <s v="USD"/>
    <x v="0"/>
  </r>
  <r>
    <x v="118"/>
    <s v="Clothing"/>
    <x v="1"/>
    <x v="0"/>
    <x v="0"/>
    <x v="0"/>
    <n v="1500"/>
    <n v="59.9"/>
    <n v="89850"/>
    <s v="USD"/>
    <x v="0"/>
  </r>
  <r>
    <x v="119"/>
    <s v="Clothing"/>
    <x v="1"/>
    <x v="1"/>
    <x v="1"/>
    <x v="0"/>
    <n v="2878"/>
    <n v="79.900000000000006"/>
    <n v="229952.2"/>
    <s v="USD"/>
    <x v="0"/>
  </r>
  <r>
    <x v="120"/>
    <s v="Clothing"/>
    <x v="1"/>
    <x v="1"/>
    <x v="2"/>
    <x v="0"/>
    <n v="2386"/>
    <n v="69.900000000000006"/>
    <n v="166781.4"/>
    <s v="USD"/>
    <x v="0"/>
  </r>
  <r>
    <x v="121"/>
    <s v="Clothing"/>
    <x v="1"/>
    <x v="1"/>
    <x v="1"/>
    <x v="1"/>
    <n v="2076"/>
    <n v="99.9"/>
    <n v="207392.4"/>
    <s v="USD"/>
    <x v="0"/>
  </r>
  <r>
    <x v="122"/>
    <s v="Clothing"/>
    <x v="1"/>
    <x v="0"/>
    <x v="2"/>
    <x v="0"/>
    <n v="2734"/>
    <n v="59.9"/>
    <n v="163766.6"/>
    <s v="USD"/>
    <x v="0"/>
  </r>
  <r>
    <x v="123"/>
    <s v="Clothing"/>
    <x v="1"/>
    <x v="1"/>
    <x v="0"/>
    <x v="0"/>
    <n v="2836"/>
    <n v="59.9"/>
    <n v="169876.4"/>
    <s v="USD"/>
    <x v="0"/>
  </r>
  <r>
    <x v="124"/>
    <s v="Clothing"/>
    <x v="1"/>
    <x v="0"/>
    <x v="2"/>
    <x v="0"/>
    <n v="2193"/>
    <n v="89.9"/>
    <n v="197150.7"/>
    <s v="USD"/>
    <x v="0"/>
  </r>
  <r>
    <x v="125"/>
    <s v="Clothing"/>
    <x v="1"/>
    <x v="1"/>
    <x v="0"/>
    <x v="0"/>
    <n v="2164"/>
    <n v="89.9"/>
    <n v="194543.6"/>
    <s v="USD"/>
    <x v="0"/>
  </r>
  <r>
    <x v="126"/>
    <s v="Clothing"/>
    <x v="1"/>
    <x v="1"/>
    <x v="2"/>
    <x v="1"/>
    <n v="991"/>
    <n v="45.9"/>
    <n v="45486.9"/>
    <s v="USD"/>
    <x v="0"/>
  </r>
  <r>
    <x v="110"/>
    <s v="Clothing"/>
    <x v="1"/>
    <x v="1"/>
    <x v="1"/>
    <x v="1"/>
    <n v="1525"/>
    <n v="69.900000000000006"/>
    <n v="106597.5"/>
    <s v="USD"/>
    <x v="0"/>
  </r>
  <r>
    <x v="127"/>
    <s v="Clothing"/>
    <x v="1"/>
    <x v="0"/>
    <x v="2"/>
    <x v="0"/>
    <n v="923"/>
    <n v="69.900000000000006"/>
    <n v="64517.7"/>
    <s v="USD"/>
    <x v="0"/>
  </r>
  <r>
    <x v="128"/>
    <s v="Clothing"/>
    <x v="1"/>
    <x v="0"/>
    <x v="2"/>
    <x v="1"/>
    <n v="2397"/>
    <n v="69.900000000000006"/>
    <n v="167550.29999999999"/>
    <s v="USD"/>
    <x v="0"/>
  </r>
  <r>
    <x v="129"/>
    <s v="Clothing"/>
    <x v="1"/>
    <x v="0"/>
    <x v="1"/>
    <x v="0"/>
    <n v="1191"/>
    <n v="69.900000000000006"/>
    <n v="83250.899999999994"/>
    <s v="USD"/>
    <x v="0"/>
  </r>
  <r>
    <x v="130"/>
    <s v="Clothing"/>
    <x v="1"/>
    <x v="1"/>
    <x v="0"/>
    <x v="0"/>
    <n v="1237"/>
    <n v="49.9"/>
    <n v="61726.3"/>
    <s v="USD"/>
    <x v="0"/>
  </r>
  <r>
    <x v="120"/>
    <s v="Clothing"/>
    <x v="1"/>
    <x v="1"/>
    <x v="0"/>
    <x v="0"/>
    <n v="1504"/>
    <n v="69.900000000000006"/>
    <n v="105129.60000000001"/>
    <s v="USD"/>
    <x v="0"/>
  </r>
  <r>
    <x v="131"/>
    <s v="Clothing"/>
    <x v="2"/>
    <x v="1"/>
    <x v="0"/>
    <x v="1"/>
    <n v="2863"/>
    <n v="39.9"/>
    <n v="114233.7"/>
    <s v="USD"/>
    <x v="1"/>
  </r>
  <r>
    <x v="132"/>
    <s v="Clothing"/>
    <x v="2"/>
    <x v="1"/>
    <x v="1"/>
    <x v="0"/>
    <n v="2760"/>
    <n v="69.900000000000006"/>
    <n v="192924"/>
    <s v="USD"/>
    <x v="1"/>
  </r>
  <r>
    <x v="133"/>
    <s v="Clothing"/>
    <x v="2"/>
    <x v="0"/>
    <x v="2"/>
    <x v="1"/>
    <n v="542"/>
    <n v="7.99"/>
    <n v="4330.58"/>
    <s v="USD"/>
    <x v="1"/>
  </r>
  <r>
    <x v="134"/>
    <s v="Clothing"/>
    <x v="2"/>
    <x v="1"/>
    <x v="1"/>
    <x v="1"/>
    <n v="1105"/>
    <n v="49.9"/>
    <n v="55139.5"/>
    <s v="USD"/>
    <x v="1"/>
  </r>
  <r>
    <x v="135"/>
    <s v="Clothing"/>
    <x v="2"/>
    <x v="1"/>
    <x v="1"/>
    <x v="0"/>
    <n v="1435"/>
    <n v="49.9"/>
    <n v="71606.5"/>
    <s v="USD"/>
    <x v="1"/>
  </r>
  <r>
    <x v="136"/>
    <s v="Clothing"/>
    <x v="2"/>
    <x v="1"/>
    <x v="0"/>
    <x v="1"/>
    <n v="2877"/>
    <n v="59.9"/>
    <n v="172332.3"/>
    <s v="USD"/>
    <x v="1"/>
  </r>
  <r>
    <x v="137"/>
    <s v="Clothing"/>
    <x v="2"/>
    <x v="0"/>
    <x v="0"/>
    <x v="1"/>
    <n v="1094"/>
    <n v="69.900000000000006"/>
    <n v="76470.600000000006"/>
    <s v="USD"/>
    <x v="1"/>
  </r>
  <r>
    <x v="138"/>
    <s v="Clothing"/>
    <x v="2"/>
    <x v="0"/>
    <x v="0"/>
    <x v="1"/>
    <n v="994"/>
    <n v="49.9"/>
    <n v="49600.6"/>
    <s v="USD"/>
    <x v="1"/>
  </r>
  <r>
    <x v="139"/>
    <s v="Clothing"/>
    <x v="2"/>
    <x v="1"/>
    <x v="1"/>
    <x v="0"/>
    <n v="1942"/>
    <n v="49.9"/>
    <n v="96905.8"/>
    <s v="USD"/>
    <x v="1"/>
  </r>
  <r>
    <x v="140"/>
    <s v="Clothing"/>
    <x v="2"/>
    <x v="0"/>
    <x v="2"/>
    <x v="1"/>
    <n v="2572"/>
    <n v="169"/>
    <n v="434668"/>
    <s v="USD"/>
    <x v="1"/>
  </r>
  <r>
    <x v="141"/>
    <s v="Clothing"/>
    <x v="2"/>
    <x v="0"/>
    <x v="0"/>
    <x v="0"/>
    <n v="1736"/>
    <n v="79.900000000000006"/>
    <n v="138706.4"/>
    <s v="USD"/>
    <x v="1"/>
  </r>
  <r>
    <x v="142"/>
    <s v="Clothing"/>
    <x v="2"/>
    <x v="1"/>
    <x v="0"/>
    <x v="1"/>
    <n v="1204"/>
    <n v="49.9"/>
    <n v="60079.6"/>
    <s v="USD"/>
    <x v="1"/>
  </r>
  <r>
    <x v="143"/>
    <s v="Clothing"/>
    <x v="2"/>
    <x v="0"/>
    <x v="1"/>
    <x v="1"/>
    <n v="1592"/>
    <n v="49.9"/>
    <n v="79440.800000000003"/>
    <s v="USD"/>
    <x v="1"/>
  </r>
  <r>
    <x v="144"/>
    <s v="Clothing"/>
    <x v="2"/>
    <x v="1"/>
    <x v="2"/>
    <x v="0"/>
    <n v="2591"/>
    <n v="39.9"/>
    <n v="103380.9"/>
    <s v="USD"/>
    <x v="1"/>
  </r>
  <r>
    <x v="145"/>
    <s v="Clothing"/>
    <x v="2"/>
    <x v="1"/>
    <x v="1"/>
    <x v="1"/>
    <n v="2097"/>
    <n v="35.9"/>
    <n v="75282.3"/>
    <s v="USD"/>
    <x v="1"/>
  </r>
  <r>
    <x v="146"/>
    <s v="Clothing"/>
    <x v="2"/>
    <x v="0"/>
    <x v="2"/>
    <x v="0"/>
    <n v="897"/>
    <n v="49.9"/>
    <n v="44760.3"/>
    <s v="USD"/>
    <x v="1"/>
  </r>
  <r>
    <x v="147"/>
    <s v="Clothing"/>
    <x v="2"/>
    <x v="0"/>
    <x v="0"/>
    <x v="1"/>
    <n v="1552"/>
    <n v="39.9"/>
    <n v="61924.800000000003"/>
    <s v="USD"/>
    <x v="1"/>
  </r>
  <r>
    <x v="148"/>
    <s v="Clothing"/>
    <x v="2"/>
    <x v="1"/>
    <x v="2"/>
    <x v="0"/>
    <n v="2494"/>
    <n v="59.9"/>
    <n v="149390.6"/>
    <s v="USD"/>
    <x v="1"/>
  </r>
  <r>
    <x v="149"/>
    <s v="Clothing"/>
    <x v="2"/>
    <x v="0"/>
    <x v="2"/>
    <x v="0"/>
    <n v="2141"/>
    <n v="49.9"/>
    <n v="106835.9"/>
    <s v="USD"/>
    <x v="1"/>
  </r>
  <r>
    <x v="150"/>
    <s v="Clothing"/>
    <x v="2"/>
    <x v="0"/>
    <x v="1"/>
    <x v="1"/>
    <n v="2835"/>
    <n v="39.9"/>
    <n v="113116.5"/>
    <s v="USD"/>
    <x v="1"/>
  </r>
  <r>
    <x v="151"/>
    <s v="Clothing"/>
    <x v="2"/>
    <x v="0"/>
    <x v="1"/>
    <x v="0"/>
    <n v="622"/>
    <n v="49.9"/>
    <n v="31037.8"/>
    <s v="USD"/>
    <x v="1"/>
  </r>
  <r>
    <x v="152"/>
    <s v="Clothing"/>
    <x v="2"/>
    <x v="1"/>
    <x v="1"/>
    <x v="1"/>
    <n v="2901"/>
    <n v="47.9"/>
    <n v="138957.9"/>
    <s v="USD"/>
    <x v="1"/>
  </r>
  <r>
    <x v="153"/>
    <s v="Clothing"/>
    <x v="2"/>
    <x v="0"/>
    <x v="1"/>
    <x v="0"/>
    <n v="867"/>
    <n v="45.9"/>
    <n v="39795.300000000003"/>
    <s v="USD"/>
    <x v="1"/>
  </r>
  <r>
    <x v="154"/>
    <s v="Clothing"/>
    <x v="2"/>
    <x v="1"/>
    <x v="2"/>
    <x v="1"/>
    <n v="2434"/>
    <n v="35.9"/>
    <n v="87380.6"/>
    <s v="USD"/>
    <x v="1"/>
  </r>
  <r>
    <x v="155"/>
    <s v="Clothing"/>
    <x v="2"/>
    <x v="1"/>
    <x v="1"/>
    <x v="1"/>
    <n v="2606"/>
    <n v="59.9"/>
    <n v="156099.4"/>
    <s v="USD"/>
    <x v="1"/>
  </r>
  <r>
    <x v="156"/>
    <s v="Clothing"/>
    <x v="2"/>
    <x v="0"/>
    <x v="0"/>
    <x v="1"/>
    <n v="2728"/>
    <n v="47.9"/>
    <n v="130671.2"/>
    <s v="USD"/>
    <x v="1"/>
  </r>
  <r>
    <x v="157"/>
    <s v="Clothing"/>
    <x v="2"/>
    <x v="1"/>
    <x v="2"/>
    <x v="1"/>
    <n v="2778"/>
    <n v="27.9"/>
    <n v="77506.2"/>
    <s v="USD"/>
    <x v="1"/>
  </r>
  <r>
    <x v="158"/>
    <s v="Clothing"/>
    <x v="2"/>
    <x v="1"/>
    <x v="0"/>
    <x v="1"/>
    <n v="558"/>
    <n v="47.9"/>
    <n v="26728.2"/>
    <s v="USD"/>
    <x v="1"/>
  </r>
  <r>
    <x v="159"/>
    <s v="Clothing"/>
    <x v="2"/>
    <x v="1"/>
    <x v="0"/>
    <x v="1"/>
    <n v="1752"/>
    <n v="47.9"/>
    <n v="83920.8"/>
    <s v="USD"/>
    <x v="1"/>
  </r>
  <r>
    <x v="160"/>
    <s v="Clothing"/>
    <x v="2"/>
    <x v="0"/>
    <x v="2"/>
    <x v="1"/>
    <n v="2743"/>
    <n v="7.99"/>
    <n v="21916.57"/>
    <s v="USD"/>
    <x v="1"/>
  </r>
  <r>
    <x v="161"/>
    <s v="Clothing"/>
    <x v="2"/>
    <x v="0"/>
    <x v="1"/>
    <x v="1"/>
    <n v="1669"/>
    <n v="45.9"/>
    <n v="76607.100000000006"/>
    <s v="USD"/>
    <x v="1"/>
  </r>
  <r>
    <x v="162"/>
    <s v="Clothing"/>
    <x v="2"/>
    <x v="0"/>
    <x v="2"/>
    <x v="0"/>
    <n v="2179"/>
    <n v="45.9"/>
    <n v="100016.1"/>
    <s v="USD"/>
    <x v="1"/>
  </r>
  <r>
    <x v="163"/>
    <s v="Clothing"/>
    <x v="2"/>
    <x v="1"/>
    <x v="2"/>
    <x v="0"/>
    <n v="606"/>
    <n v="49.9"/>
    <n v="30239.4"/>
    <s v="USD"/>
    <x v="1"/>
  </r>
  <r>
    <x v="164"/>
    <s v="Clothing"/>
    <x v="2"/>
    <x v="0"/>
    <x v="1"/>
    <x v="1"/>
    <n v="1608"/>
    <n v="45.9"/>
    <n v="73807.199999999997"/>
    <s v="USD"/>
    <x v="1"/>
  </r>
  <r>
    <x v="165"/>
    <s v="Clothing"/>
    <x v="0"/>
    <x v="0"/>
    <x v="0"/>
    <x v="1"/>
    <n v="880"/>
    <n v="69.900000000000006"/>
    <n v="61512"/>
    <s v="USD"/>
    <x v="0"/>
  </r>
  <r>
    <x v="166"/>
    <s v="Clothing"/>
    <x v="0"/>
    <x v="0"/>
    <x v="0"/>
    <x v="0"/>
    <n v="943"/>
    <n v="69.900000000000006"/>
    <n v="65915.7"/>
    <s v="USD"/>
    <x v="0"/>
  </r>
  <r>
    <x v="89"/>
    <s v="Clothing"/>
    <x v="0"/>
    <x v="1"/>
    <x v="0"/>
    <x v="1"/>
    <n v="1049"/>
    <n v="89.9"/>
    <n v="94305.1"/>
    <s v="USD"/>
    <x v="0"/>
  </r>
  <r>
    <x v="167"/>
    <s v="Clothing"/>
    <x v="3"/>
    <x v="0"/>
    <x v="2"/>
    <x v="0"/>
    <n v="2084"/>
    <n v="69.900000000000006"/>
    <n v="145671.6"/>
    <s v="USD"/>
    <x v="0"/>
  </r>
  <r>
    <x v="168"/>
    <s v="Clothing"/>
    <x v="3"/>
    <x v="0"/>
    <x v="1"/>
    <x v="0"/>
    <n v="1563"/>
    <n v="59.9"/>
    <n v="93623.7"/>
    <s v="USD"/>
    <x v="0"/>
  </r>
  <r>
    <x v="169"/>
    <s v="Clothing"/>
    <x v="3"/>
    <x v="1"/>
    <x v="1"/>
    <x v="1"/>
    <n v="1558"/>
    <n v="69.900000000000006"/>
    <n v="108904.2"/>
    <s v="USD"/>
    <x v="0"/>
  </r>
  <r>
    <x v="169"/>
    <s v="Clothing"/>
    <x v="3"/>
    <x v="0"/>
    <x v="1"/>
    <x v="0"/>
    <n v="1426"/>
    <n v="69.900000000000006"/>
    <n v="99677.4"/>
    <s v="USD"/>
    <x v="0"/>
  </r>
  <r>
    <x v="170"/>
    <s v="Clothing"/>
    <x v="3"/>
    <x v="1"/>
    <x v="2"/>
    <x v="1"/>
    <n v="1466"/>
    <n v="109"/>
    <n v="159794"/>
    <s v="USD"/>
    <x v="0"/>
  </r>
  <r>
    <x v="171"/>
    <s v="Clothing"/>
    <x v="3"/>
    <x v="0"/>
    <x v="1"/>
    <x v="1"/>
    <n v="624"/>
    <n v="49.9"/>
    <n v="31137.599999999999"/>
    <s v="USD"/>
    <x v="0"/>
  </r>
  <r>
    <x v="172"/>
    <s v="Clothing"/>
    <x v="3"/>
    <x v="1"/>
    <x v="0"/>
    <x v="0"/>
    <n v="1685"/>
    <n v="12.99"/>
    <n v="21888.15"/>
    <s v="USD"/>
    <x v="0"/>
  </r>
  <r>
    <x v="173"/>
    <s v="Clothing"/>
    <x v="3"/>
    <x v="0"/>
    <x v="0"/>
    <x v="0"/>
    <n v="2914"/>
    <n v="69.900000000000006"/>
    <n v="203688.6"/>
    <s v="USD"/>
    <x v="0"/>
  </r>
  <r>
    <x v="174"/>
    <s v="Clothing"/>
    <x v="2"/>
    <x v="0"/>
    <x v="0"/>
    <x v="1"/>
    <n v="1524"/>
    <n v="69.900000000000006"/>
    <n v="106527.6"/>
    <s v="USD"/>
    <x v="0"/>
  </r>
  <r>
    <x v="175"/>
    <s v="Clothing"/>
    <x v="2"/>
    <x v="0"/>
    <x v="1"/>
    <x v="1"/>
    <n v="2887"/>
    <n v="12.99"/>
    <n v="37502.129999999997"/>
    <s v="USD"/>
    <x v="0"/>
  </r>
  <r>
    <x v="176"/>
    <s v="Clothing"/>
    <x v="2"/>
    <x v="1"/>
    <x v="1"/>
    <x v="1"/>
    <n v="1778"/>
    <n v="69.900000000000006"/>
    <n v="124282.2"/>
    <s v="USD"/>
    <x v="0"/>
  </r>
  <r>
    <x v="177"/>
    <s v="Clothing"/>
    <x v="2"/>
    <x v="0"/>
    <x v="1"/>
    <x v="1"/>
    <n v="1278"/>
    <n v="59.9"/>
    <n v="76552.2"/>
    <s v="USD"/>
    <x v="0"/>
  </r>
  <r>
    <x v="178"/>
    <s v="Clothing"/>
    <x v="2"/>
    <x v="0"/>
    <x v="2"/>
    <x v="1"/>
    <n v="529"/>
    <n v="59.9"/>
    <n v="31687.1"/>
    <s v="USD"/>
    <x v="0"/>
  </r>
  <r>
    <x v="179"/>
    <s v="Clothing"/>
    <x v="4"/>
    <x v="1"/>
    <x v="0"/>
    <x v="1"/>
    <n v="1180"/>
    <n v="19.899999999999999"/>
    <n v="23482"/>
    <s v="USD"/>
    <x v="0"/>
  </r>
  <r>
    <x v="180"/>
    <s v="Clothing"/>
    <x v="4"/>
    <x v="0"/>
    <x v="0"/>
    <x v="0"/>
    <n v="2759"/>
    <n v="39.9"/>
    <n v="110084.1"/>
    <s v="USD"/>
    <x v="0"/>
  </r>
  <r>
    <x v="181"/>
    <s v="Clothing"/>
    <x v="4"/>
    <x v="0"/>
    <x v="0"/>
    <x v="1"/>
    <n v="1831"/>
    <n v="29.9"/>
    <n v="54746.9"/>
    <s v="USD"/>
    <x v="0"/>
  </r>
  <r>
    <x v="182"/>
    <s v="Clothing"/>
    <x v="4"/>
    <x v="0"/>
    <x v="1"/>
    <x v="0"/>
    <n v="1866"/>
    <n v="39.9"/>
    <n v="74453.399999999994"/>
    <s v="USD"/>
    <x v="0"/>
  </r>
  <r>
    <x v="183"/>
    <s v="Clothing"/>
    <x v="4"/>
    <x v="1"/>
    <x v="1"/>
    <x v="0"/>
    <n v="1553"/>
    <n v="39.9"/>
    <n v="61964.7"/>
    <s v="USD"/>
    <x v="0"/>
  </r>
  <r>
    <x v="184"/>
    <s v="Clothing"/>
    <x v="4"/>
    <x v="1"/>
    <x v="1"/>
    <x v="0"/>
    <n v="917"/>
    <n v="39.9"/>
    <n v="36588.300000000003"/>
    <s v="USD"/>
    <x v="0"/>
  </r>
  <r>
    <x v="185"/>
    <s v="Clothing"/>
    <x v="4"/>
    <x v="0"/>
    <x v="1"/>
    <x v="0"/>
    <n v="702"/>
    <n v="49.9"/>
    <n v="35029.800000000003"/>
    <s v="USD"/>
    <x v="0"/>
  </r>
  <r>
    <x v="186"/>
    <s v="Clothing"/>
    <x v="4"/>
    <x v="1"/>
    <x v="0"/>
    <x v="0"/>
    <n v="1978"/>
    <n v="39.9"/>
    <n v="78922.2"/>
    <s v="USD"/>
    <x v="0"/>
  </r>
  <r>
    <x v="187"/>
    <s v="Clothing"/>
    <x v="4"/>
    <x v="0"/>
    <x v="2"/>
    <x v="1"/>
    <n v="1961"/>
    <n v="27.9"/>
    <n v="54711.9"/>
    <s v="USD"/>
    <x v="0"/>
  </r>
  <r>
    <x v="188"/>
    <s v="Clothing"/>
    <x v="4"/>
    <x v="0"/>
    <x v="0"/>
    <x v="0"/>
    <n v="1188"/>
    <n v="45.9"/>
    <n v="54529.2"/>
    <s v="USD"/>
    <x v="0"/>
  </r>
  <r>
    <x v="189"/>
    <s v="Clothing"/>
    <x v="4"/>
    <x v="1"/>
    <x v="0"/>
    <x v="0"/>
    <n v="996"/>
    <n v="39.9"/>
    <n v="39740.400000000001"/>
    <s v="USD"/>
    <x v="0"/>
  </r>
  <r>
    <x v="190"/>
    <s v="Clothing"/>
    <x v="4"/>
    <x v="0"/>
    <x v="0"/>
    <x v="1"/>
    <n v="1915"/>
    <n v="39.9"/>
    <n v="76408.5"/>
    <s v="USD"/>
    <x v="0"/>
  </r>
  <r>
    <x v="185"/>
    <s v="Clothing"/>
    <x v="4"/>
    <x v="0"/>
    <x v="1"/>
    <x v="0"/>
    <n v="903"/>
    <n v="45.9"/>
    <n v="41447.699999999997"/>
    <s v="USD"/>
    <x v="0"/>
  </r>
  <r>
    <x v="191"/>
    <s v="Clothing"/>
    <x v="4"/>
    <x v="1"/>
    <x v="0"/>
    <x v="1"/>
    <n v="729"/>
    <n v="45.9"/>
    <n v="33461.1"/>
    <s v="USD"/>
    <x v="0"/>
  </r>
  <r>
    <x v="192"/>
    <s v="Clothing"/>
    <x v="4"/>
    <x v="0"/>
    <x v="0"/>
    <x v="1"/>
    <n v="2045"/>
    <n v="45.9"/>
    <n v="93865.5"/>
    <s v="USD"/>
    <x v="0"/>
  </r>
  <r>
    <x v="193"/>
    <s v="Clothing"/>
    <x v="4"/>
    <x v="1"/>
    <x v="0"/>
    <x v="0"/>
    <n v="881"/>
    <n v="39.9"/>
    <n v="35151.9"/>
    <s v="USD"/>
    <x v="0"/>
  </r>
  <r>
    <x v="194"/>
    <s v="Clothing"/>
    <x v="4"/>
    <x v="1"/>
    <x v="1"/>
    <x v="0"/>
    <n v="2093"/>
    <n v="39.9"/>
    <n v="83510.7"/>
    <s v="USD"/>
    <x v="0"/>
  </r>
  <r>
    <x v="188"/>
    <s v="Clothing"/>
    <x v="4"/>
    <x v="0"/>
    <x v="1"/>
    <x v="0"/>
    <n v="2227"/>
    <n v="45.9"/>
    <n v="102219.3"/>
    <s v="USD"/>
    <x v="0"/>
  </r>
  <r>
    <x v="10"/>
    <s v="Clothing"/>
    <x v="1"/>
    <x v="1"/>
    <x v="0"/>
    <x v="1"/>
    <n v="994"/>
    <n v="89.9"/>
    <n v="89360.6"/>
    <s v="USD"/>
    <x v="0"/>
  </r>
  <r>
    <x v="11"/>
    <s v="Clothing"/>
    <x v="4"/>
    <x v="0"/>
    <x v="1"/>
    <x v="0"/>
    <n v="2634"/>
    <n v="69.900000000000006"/>
    <n v="184116.6"/>
    <s v="USD"/>
    <x v="0"/>
  </r>
  <r>
    <x v="12"/>
    <s v="Clothing"/>
    <x v="2"/>
    <x v="0"/>
    <x v="1"/>
    <x v="1"/>
    <n v="2732"/>
    <n v="89.9"/>
    <n v="245606.8"/>
    <s v="USD"/>
    <x v="0"/>
  </r>
  <r>
    <x v="13"/>
    <s v="Clothing"/>
    <x v="2"/>
    <x v="0"/>
    <x v="0"/>
    <x v="1"/>
    <n v="1140"/>
    <n v="169"/>
    <n v="192660"/>
    <s v="USD"/>
    <x v="0"/>
  </r>
  <r>
    <x v="14"/>
    <s v="Clothing"/>
    <x v="4"/>
    <x v="0"/>
    <x v="1"/>
    <x v="1"/>
    <n v="1008"/>
    <n v="169"/>
    <n v="170352"/>
    <s v="USD"/>
    <x v="0"/>
  </r>
  <r>
    <x v="15"/>
    <s v="Clothing"/>
    <x v="4"/>
    <x v="0"/>
    <x v="2"/>
    <x v="0"/>
    <n v="2685"/>
    <n v="69.900000000000006"/>
    <n v="187681.5"/>
    <s v="USD"/>
    <x v="0"/>
  </r>
  <r>
    <x v="16"/>
    <s v="Clothing"/>
    <x v="4"/>
    <x v="1"/>
    <x v="1"/>
    <x v="1"/>
    <n v="1145"/>
    <n v="19.989999999999998"/>
    <n v="22888.55"/>
    <s v="USD"/>
    <x v="0"/>
  </r>
  <r>
    <x v="17"/>
    <s v="Clothing"/>
    <x v="4"/>
    <x v="1"/>
    <x v="0"/>
    <x v="0"/>
    <n v="1791"/>
    <n v="139"/>
    <n v="248949"/>
    <s v="USD"/>
    <x v="0"/>
  </r>
  <r>
    <x v="18"/>
    <s v="Clothing"/>
    <x v="4"/>
    <x v="1"/>
    <x v="0"/>
    <x v="0"/>
    <n v="2849"/>
    <n v="109"/>
    <n v="310541"/>
    <s v="USD"/>
    <x v="0"/>
  </r>
  <r>
    <x v="7"/>
    <s v="Clothing"/>
    <x v="4"/>
    <x v="0"/>
    <x v="0"/>
    <x v="1"/>
    <n v="2985"/>
    <n v="109"/>
    <n v="325365"/>
    <s v="USD"/>
    <x v="0"/>
  </r>
  <r>
    <x v="19"/>
    <s v="Clothing"/>
    <x v="4"/>
    <x v="0"/>
    <x v="2"/>
    <x v="0"/>
    <n v="1603"/>
    <n v="109"/>
    <n v="174727"/>
    <s v="USD"/>
    <x v="0"/>
  </r>
  <r>
    <x v="20"/>
    <s v="Clothing"/>
    <x v="4"/>
    <x v="1"/>
    <x v="0"/>
    <x v="0"/>
    <n v="707"/>
    <n v="109"/>
    <n v="77063"/>
    <s v="USD"/>
    <x v="0"/>
  </r>
  <r>
    <x v="21"/>
    <s v="Clothing"/>
    <x v="4"/>
    <x v="0"/>
    <x v="0"/>
    <x v="1"/>
    <n v="1258"/>
    <n v="99.9"/>
    <n v="125674.2"/>
    <s v="USD"/>
    <x v="0"/>
  </r>
  <r>
    <x v="22"/>
    <s v="Clothing"/>
    <x v="4"/>
    <x v="1"/>
    <x v="2"/>
    <x v="0"/>
    <n v="2168"/>
    <n v="89.9"/>
    <n v="194903.2"/>
    <s v="USD"/>
    <x v="0"/>
  </r>
  <r>
    <x v="23"/>
    <s v="Clothing"/>
    <x v="4"/>
    <x v="1"/>
    <x v="1"/>
    <x v="1"/>
    <n v="1764"/>
    <n v="69.900000000000006"/>
    <n v="123303.6"/>
    <s v="USD"/>
    <x v="0"/>
  </r>
  <r>
    <x v="24"/>
    <s v="Clothing"/>
    <x v="4"/>
    <x v="1"/>
    <x v="1"/>
    <x v="1"/>
    <n v="2622"/>
    <n v="139"/>
    <n v="364458"/>
    <s v="USD"/>
    <x v="0"/>
  </r>
  <r>
    <x v="25"/>
    <s v="Clothing"/>
    <x v="4"/>
    <x v="0"/>
    <x v="0"/>
    <x v="1"/>
    <n v="694"/>
    <n v="139"/>
    <n v="96466"/>
    <s v="USD"/>
    <x v="0"/>
  </r>
  <r>
    <x v="26"/>
    <s v="Clothing"/>
    <x v="0"/>
    <x v="1"/>
    <x v="0"/>
    <x v="1"/>
    <n v="2187"/>
    <n v="109"/>
    <n v="238383"/>
    <s v="USD"/>
    <x v="0"/>
  </r>
  <r>
    <x v="27"/>
    <s v="Clothing"/>
    <x v="0"/>
    <x v="0"/>
    <x v="0"/>
    <x v="1"/>
    <n v="2973"/>
    <n v="129"/>
    <n v="383517"/>
    <s v="USD"/>
    <x v="0"/>
  </r>
  <r>
    <x v="28"/>
    <s v="Clothing"/>
    <x v="0"/>
    <x v="1"/>
    <x v="2"/>
    <x v="0"/>
    <n v="1014"/>
    <n v="169"/>
    <n v="171366"/>
    <s v="USD"/>
    <x v="0"/>
  </r>
  <r>
    <x v="29"/>
    <s v="Clothing"/>
    <x v="0"/>
    <x v="1"/>
    <x v="0"/>
    <x v="0"/>
    <n v="2222"/>
    <n v="159"/>
    <n v="353298"/>
    <s v="USD"/>
    <x v="0"/>
  </r>
  <r>
    <x v="25"/>
    <s v="Clothing"/>
    <x v="0"/>
    <x v="0"/>
    <x v="0"/>
    <x v="1"/>
    <n v="2534"/>
    <n v="12.99"/>
    <n v="32916.660000000003"/>
    <s v="USD"/>
    <x v="0"/>
  </r>
  <r>
    <x v="30"/>
    <s v="Clothing"/>
    <x v="0"/>
    <x v="1"/>
    <x v="2"/>
    <x v="1"/>
    <n v="1466"/>
    <n v="19.899999999999999"/>
    <n v="29173.4"/>
    <s v="USD"/>
    <x v="0"/>
  </r>
  <r>
    <x v="6"/>
    <s v="Clothing"/>
    <x v="0"/>
    <x v="0"/>
    <x v="2"/>
    <x v="1"/>
    <n v="2870"/>
    <n v="39.9"/>
    <n v="114513"/>
    <s v="US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AA877-3F1A-445F-B18D-9B0CCC48A3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B74:C80" firstHeaderRow="1" firstDataRow="1" firstDataCol="1"/>
  <pivotFields count="11">
    <pivotField axis="axisRow" showAll="0" measureFilter="1" sortType="descending">
      <items count="196">
        <item x="63"/>
        <item x="9"/>
        <item x="90"/>
        <item x="8"/>
        <item x="178"/>
        <item x="194"/>
        <item x="189"/>
        <item x="50"/>
        <item x="126"/>
        <item x="138"/>
        <item x="141"/>
        <item x="131"/>
        <item x="136"/>
        <item x="168"/>
        <item x="169"/>
        <item x="167"/>
        <item x="160"/>
        <item x="154"/>
        <item x="181"/>
        <item x="157"/>
        <item x="187"/>
        <item x="0"/>
        <item x="179"/>
        <item x="31"/>
        <item x="18"/>
        <item x="72"/>
        <item x="68"/>
        <item x="176"/>
        <item x="135"/>
        <item x="140"/>
        <item x="122"/>
        <item x="124"/>
        <item x="127"/>
        <item x="73"/>
        <item x="161"/>
        <item x="177"/>
        <item x="59"/>
        <item x="128"/>
        <item x="155"/>
        <item x="5"/>
        <item x="29"/>
        <item x="61"/>
        <item x="54"/>
        <item x="46"/>
        <item x="57"/>
        <item x="87"/>
        <item x="30"/>
        <item x="13"/>
        <item x="60"/>
        <item x="35"/>
        <item x="180"/>
        <item x="17"/>
        <item x="172"/>
        <item x="4"/>
        <item x="123"/>
        <item x="70"/>
        <item x="49"/>
        <item x="145"/>
        <item x="24"/>
        <item x="14"/>
        <item x="15"/>
        <item x="28"/>
        <item x="6"/>
        <item x="121"/>
        <item x="69"/>
        <item x="16"/>
        <item x="32"/>
        <item x="92"/>
        <item x="40"/>
        <item x="150"/>
        <item x="162"/>
        <item x="170"/>
        <item x="55"/>
        <item x="166"/>
        <item x="159"/>
        <item x="152"/>
        <item x="96"/>
        <item x="182"/>
        <item x="10"/>
        <item x="133"/>
        <item x="119"/>
        <item x="82"/>
        <item x="76"/>
        <item x="44"/>
        <item x="77"/>
        <item x="78"/>
        <item x="19"/>
        <item x="148"/>
        <item x="163"/>
        <item x="164"/>
        <item x="147"/>
        <item x="132"/>
        <item x="149"/>
        <item x="151"/>
        <item x="153"/>
        <item x="12"/>
        <item x="21"/>
        <item x="22"/>
        <item x="45"/>
        <item x="74"/>
        <item x="146"/>
        <item x="81"/>
        <item x="65"/>
        <item x="139"/>
        <item x="116"/>
        <item x="106"/>
        <item x="110"/>
        <item x="114"/>
        <item x="94"/>
        <item x="100"/>
        <item x="186"/>
        <item x="48"/>
        <item x="11"/>
        <item x="142"/>
        <item x="66"/>
        <item x="98"/>
        <item x="20"/>
        <item x="97"/>
        <item x="25"/>
        <item x="89"/>
        <item x="99"/>
        <item x="171"/>
        <item x="67"/>
        <item x="91"/>
        <item x="47"/>
        <item x="71"/>
        <item x="36"/>
        <item x="184"/>
        <item x="85"/>
        <item x="41"/>
        <item x="175"/>
        <item x="101"/>
        <item x="190"/>
        <item x="113"/>
        <item x="107"/>
        <item x="112"/>
        <item x="88"/>
        <item x="27"/>
        <item x="185"/>
        <item x="38"/>
        <item x="173"/>
        <item x="191"/>
        <item x="2"/>
        <item x="144"/>
        <item x="43"/>
        <item x="117"/>
        <item x="26"/>
        <item x="3"/>
        <item x="156"/>
        <item x="193"/>
        <item x="134"/>
        <item x="165"/>
        <item x="188"/>
        <item x="86"/>
        <item x="103"/>
        <item x="108"/>
        <item x="33"/>
        <item x="105"/>
        <item x="125"/>
        <item x="118"/>
        <item x="129"/>
        <item x="120"/>
        <item x="109"/>
        <item x="23"/>
        <item x="7"/>
        <item x="115"/>
        <item x="37"/>
        <item x="102"/>
        <item x="64"/>
        <item x="183"/>
        <item x="52"/>
        <item x="34"/>
        <item x="39"/>
        <item x="93"/>
        <item x="174"/>
        <item x="42"/>
        <item x="111"/>
        <item x="1"/>
        <item x="62"/>
        <item x="51"/>
        <item x="192"/>
        <item x="158"/>
        <item x="79"/>
        <item x="80"/>
        <item x="83"/>
        <item x="137"/>
        <item x="84"/>
        <item x="53"/>
        <item x="143"/>
        <item x="75"/>
        <item x="58"/>
        <item x="130"/>
        <item x="104"/>
        <item x="56"/>
        <item x="9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h="1" x="0"/>
        <item x="1"/>
        <item t="default"/>
      </items>
    </pivotField>
    <pivotField showAll="0"/>
    <pivotField showAll="0">
      <items count="3">
        <item h="1" x="0"/>
        <item x="1"/>
        <item t="default"/>
      </items>
    </pivotField>
    <pivotField showAll="0"/>
    <pivotField showAll="0"/>
    <pivotField dataField="1" showAll="0"/>
    <pivotField showAll="0"/>
    <pivotField showAll="0">
      <items count="3">
        <item x="0"/>
        <item x="1"/>
        <item t="default"/>
      </items>
    </pivotField>
  </pivotFields>
  <rowFields count="1">
    <field x="0"/>
  </rowFields>
  <rowItems count="6">
    <i>
      <x v="142"/>
    </i>
    <i>
      <x v="179"/>
    </i>
    <i>
      <x v="190"/>
    </i>
    <i>
      <x v="78"/>
    </i>
    <i>
      <x v="146"/>
    </i>
    <i t="grand">
      <x/>
    </i>
  </rowItems>
  <colItems count="1">
    <i/>
  </colItems>
  <dataFields count="1">
    <dataField name="Sum of Total sales" fld="8" baseField="0" baseItem="0" numFmtId="44"/>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B0080-12F3-4A33-AE6E-5E492D0521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asonal">
  <location ref="B34:C37" firstHeaderRow="1" firstDataRow="1" firstDataCol="1"/>
  <pivotFields count="11">
    <pivotField showAll="0"/>
    <pivotField showAll="0"/>
    <pivotField showAll="0"/>
    <pivotField showAll="0">
      <items count="3">
        <item h="1" x="0"/>
        <item x="1"/>
        <item t="default"/>
      </items>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0"/>
        <item x="1"/>
        <item t="default"/>
      </items>
    </pivotField>
  </pivotFields>
  <rowFields count="1">
    <field x="5"/>
  </rowFields>
  <rowItems count="3">
    <i>
      <x v="1"/>
    </i>
    <i>
      <x/>
    </i>
    <i t="grand">
      <x/>
    </i>
  </rowItems>
  <colItems count="1">
    <i/>
  </colItems>
  <dataFields count="1">
    <dataField name="Sales" fld="8" baseField="5" baseItem="1" numFmtId="44"/>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7520F-0A34-4B88-A064-AF8A669FC0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
  <location ref="B43:C46" firstHeaderRow="1" firstDataRow="1" firstDataCol="1"/>
  <pivotFields count="11">
    <pivotField showAll="0"/>
    <pivotField showAll="0"/>
    <pivotField showAll="0"/>
    <pivotField showAll="0">
      <items count="3">
        <item h="1" x="0"/>
        <item x="1"/>
        <item t="default"/>
      </items>
    </pivotField>
    <pivotField showAll="0"/>
    <pivotField showAll="0">
      <items count="3">
        <item h="1" x="0"/>
        <item x="1"/>
        <item t="default"/>
      </items>
    </pivotField>
    <pivotField showAll="0"/>
    <pivotField showAll="0"/>
    <pivotField showAll="0"/>
    <pivotField showAll="0"/>
    <pivotField axis="axisRow" dataField="1" showAll="0">
      <items count="3">
        <item x="0"/>
        <item x="1"/>
        <item t="default"/>
      </items>
    </pivotField>
  </pivotFields>
  <rowFields count="1">
    <field x="10"/>
  </rowFields>
  <rowItems count="3">
    <i>
      <x/>
    </i>
    <i>
      <x v="1"/>
    </i>
    <i t="grand">
      <x/>
    </i>
  </rowItems>
  <colItems count="1">
    <i/>
  </colItems>
  <dataFields count="1">
    <dataField name="Count of section" fld="10"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2163BE-2D45-4633-946A-4D21B96DFA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motion">
  <location ref="B15:C18" firstHeaderRow="1" firstDataRow="1" firstDataCol="1"/>
  <pivotFields count="11">
    <pivotField showAll="0"/>
    <pivotField showAll="0"/>
    <pivotField showAll="0"/>
    <pivotField axis="axisRow" showAll="0">
      <items count="3">
        <item x="0"/>
        <item x="1"/>
        <item t="default"/>
      </items>
    </pivotField>
    <pivotField showAll="0"/>
    <pivotField showAll="0">
      <items count="3">
        <item h="1" x="0"/>
        <item x="1"/>
        <item t="default"/>
      </items>
    </pivotField>
    <pivotField showAll="0"/>
    <pivotField showAll="0"/>
    <pivotField dataField="1" showAll="0"/>
    <pivotField showAll="0"/>
    <pivotField showAll="0">
      <items count="3">
        <item x="0"/>
        <item x="1"/>
        <item t="default"/>
      </items>
    </pivotField>
  </pivotFields>
  <rowFields count="1">
    <field x="3"/>
  </rowFields>
  <rowItems count="3">
    <i>
      <x/>
    </i>
    <i>
      <x v="1"/>
    </i>
    <i t="grand">
      <x/>
    </i>
  </rowItems>
  <colItems count="1">
    <i/>
  </colItems>
  <dataFields count="1">
    <dataField name="Sales" fld="8" baseField="3" baseItem="0" numFmtId="44"/>
  </dataFields>
  <formats count="1">
    <format dxfId="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547F6E-E95D-45E2-B9C7-7CE7BD0CD4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B51:C54" firstHeaderRow="1" firstDataRow="1" firstDataCol="1"/>
  <pivotFields count="11">
    <pivotField showAll="0"/>
    <pivotField showAll="0"/>
    <pivotField showAll="0"/>
    <pivotField showAll="0">
      <items count="3">
        <item h="1" x="0"/>
        <item x="1"/>
        <item t="default"/>
      </items>
    </pivotField>
    <pivotField showAll="0"/>
    <pivotField showAll="0">
      <items count="3">
        <item h="1" x="0"/>
        <item x="1"/>
        <item t="default"/>
      </items>
    </pivotField>
    <pivotField showAll="0"/>
    <pivotField showAll="0"/>
    <pivotField dataField="1" showAll="0"/>
    <pivotField showAll="0"/>
    <pivotField axis="axisRow" showAll="0">
      <items count="3">
        <item x="0"/>
        <item x="1"/>
        <item t="default"/>
      </items>
    </pivotField>
  </pivotFields>
  <rowFields count="1">
    <field x="10"/>
  </rowFields>
  <rowItems count="3">
    <i>
      <x/>
    </i>
    <i>
      <x v="1"/>
    </i>
    <i t="grand">
      <x/>
    </i>
  </rowItems>
  <colItems count="1">
    <i/>
  </colItems>
  <dataFields count="1">
    <dataField name="Sales" fld="8" baseField="10" baseItem="0" numFmtId="44"/>
  </dataFields>
  <formats count="2">
    <format dxfId="5">
      <pivotArea outline="0" collapsedLevelsAreSubtotals="1" fieldPosition="0"/>
    </format>
    <format dxfId="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81B5BE-19B6-427A-9C34-8050220D1E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osition">
  <location ref="B24:C28" firstHeaderRow="1" firstDataRow="1" firstDataCol="1"/>
  <pivotFields count="11">
    <pivotField showAll="0"/>
    <pivotField showAll="0"/>
    <pivotField showAll="0"/>
    <pivotField showAll="0">
      <items count="3">
        <item h="1"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pivotField showAll="0"/>
    <pivotField dataField="1" showAll="0"/>
    <pivotField showAll="0"/>
    <pivotField showAll="0">
      <items count="3">
        <item x="0"/>
        <item x="1"/>
        <item t="default"/>
      </items>
    </pivotField>
  </pivotFields>
  <rowFields count="1">
    <field x="4"/>
  </rowFields>
  <rowItems count="4">
    <i>
      <x v="1"/>
    </i>
    <i>
      <x/>
    </i>
    <i>
      <x v="2"/>
    </i>
    <i t="grand">
      <x/>
    </i>
  </rowItems>
  <colItems count="1">
    <i/>
  </colItems>
  <dataFields count="1">
    <dataField name="Sales" fld="8" showDataAs="percentOfTotal" baseField="4" baseItem="0" numFmtId="1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1A66E2-6F28-47B0-B7E8-F219DE757C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ub Category">
  <location ref="B3:C9" firstHeaderRow="1" firstDataRow="1" firstDataCol="1"/>
  <pivotFields count="11">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pivotField showAll="0">
      <items count="3">
        <item h="1" x="0"/>
        <item x="1"/>
        <item t="default"/>
      </items>
    </pivotField>
    <pivotField showAll="0"/>
    <pivotField showAll="0"/>
    <pivotField dataField="1" showAll="0"/>
    <pivotField showAll="0"/>
    <pivotField showAll="0">
      <items count="3">
        <item x="0"/>
        <item x="1"/>
        <item t="default"/>
      </items>
    </pivotField>
  </pivotFields>
  <rowFields count="1">
    <field x="2"/>
  </rowFields>
  <rowItems count="6">
    <i>
      <x/>
    </i>
    <i>
      <x v="3"/>
    </i>
    <i>
      <x v="2"/>
    </i>
    <i>
      <x v="4"/>
    </i>
    <i>
      <x v="1"/>
    </i>
    <i t="grand">
      <x/>
    </i>
  </rowItems>
  <colItems count="1">
    <i/>
  </colItems>
  <dataFields count="1">
    <dataField name="Sales" fld="8" baseField="2" baseItem="0" numFmtId="4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7AA2D4-D30A-493D-8D7F-7BE03D48525F}" autoFormatId="16" applyNumberFormats="0" applyBorderFormats="0" applyFontFormats="0" applyPatternFormats="0" applyAlignmentFormats="0" applyWidthHeightFormats="0">
  <queryTableRefresh nextId="12">
    <queryTableFields count="11">
      <queryTableField id="1" name="Product name" tableColumnId="1"/>
      <queryTableField id="2" name="Product Category" tableColumnId="2"/>
      <queryTableField id="3" name="Sub-category" tableColumnId="3"/>
      <queryTableField id="4" name="Promotion" tableColumnId="4"/>
      <queryTableField id="5" name="Product Position" tableColumnId="5"/>
      <queryTableField id="6" name="Seasonal" tableColumnId="6"/>
      <queryTableField id="7" name="Sales Volume" tableColumnId="7"/>
      <queryTableField id="8" name="price" tableColumnId="8"/>
      <queryTableField id="9" name="Total sales" tableColumnId="9"/>
      <queryTableField id="10" name="currency" tableColumnId="10"/>
      <queryTableField id="11" name="sec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35AE4921-E1D5-4069-86CD-13883A30121D}" sourceName="Promotion">
  <pivotTables>
    <pivotTable tabId="1" name="PivotTable5"/>
    <pivotTable tabId="1" name="PivotTable1"/>
    <pivotTable tabId="1" name="PivotTable3"/>
    <pivotTable tabId="1" name="PivotTable4"/>
    <pivotTable tabId="1" name="PivotTable6"/>
    <pivotTable tabId="1" name="PivotTable7"/>
  </pivotTables>
  <data>
    <tabular pivotCacheId="7353933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al" xr10:uid="{8D5D13C4-EDEA-4ADD-B286-A379EB2F6940}" sourceName="Seasonal">
  <pivotTables>
    <pivotTable tabId="1" name="PivotTable5"/>
    <pivotTable tabId="1" name="PivotTable1"/>
    <pivotTable tabId="1" name="PivotTable2"/>
    <pivotTable tabId="1" name="PivotTable3"/>
    <pivotTable tabId="1" name="PivotTable6"/>
    <pivotTable tabId="1" name="PivotTable7"/>
  </pivotTables>
  <data>
    <tabular pivotCacheId="735393337">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4270C086-AFCF-4994-AA6F-0FAC29C7F02C}" sourceName="section">
  <pivotTables>
    <pivotTable tabId="1" name="PivotTable1"/>
    <pivotTable tabId="1" name="PivotTable2"/>
    <pivotTable tabId="1" name="PivotTable3"/>
    <pivotTable tabId="1" name="PivotTable4"/>
    <pivotTable tabId="1" name="PivotTable7"/>
  </pivotTables>
  <data>
    <tabular pivotCacheId="7353933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tion" xr10:uid="{E40DEA16-1006-4F3D-8E6F-D428D76CF735}" cache="Slicer_Promotion" caption="Promotion" rowHeight="234950"/>
  <slicer name="Seasonal" xr10:uid="{F0BBC8D5-A919-41CA-82EA-C5146F22FC7D}" cache="Slicer_Seasonal" caption="Seasonal" rowHeight="234950"/>
  <slicer name="section" xr10:uid="{F6A43A07-99E3-4A9C-8F28-26B697896D21}" cache="Slicer_section" caption="sec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tion 1" xr10:uid="{8619E124-9954-4397-A5C3-5A532D778EAC}" cache="Slicer_Promotion" caption="Promotion" rowHeight="234950"/>
  <slicer name="Seasonal 1" xr10:uid="{6F70FF0A-F71C-4DA5-88A2-B4809E17E41E}" cache="Slicer_Seasonal" caption="Seasonal" rowHeight="234950"/>
  <slicer name="section 1" xr10:uid="{E42ABB34-3924-4585-BCB3-B726FA4AA3FF}" cache="Slicer_section" caption="sec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56D15-ED1D-4214-88DA-CE8BF26BB91C}" name="zara" displayName="zara" ref="A1:K253" tableType="queryTable" totalsRowShown="0">
  <autoFilter ref="A1:K253" xr:uid="{2F856D15-ED1D-4214-88DA-CE8BF26BB91C}"/>
  <tableColumns count="11">
    <tableColumn id="1" xr3:uid="{3BA7B56F-49FB-438F-873D-543144384AAC}" uniqueName="1" name="Product name" queryTableFieldId="1" dataDxfId="15"/>
    <tableColumn id="2" xr3:uid="{803EDCC1-1491-4B96-B058-A3CCEEA5199E}" uniqueName="2" name="Product Category" queryTableFieldId="2" dataDxfId="14"/>
    <tableColumn id="3" xr3:uid="{73A33E43-9ED1-4300-B090-7B48C7C18087}" uniqueName="3" name="Sub-category" queryTableFieldId="3" dataDxfId="13"/>
    <tableColumn id="4" xr3:uid="{637346E6-0E9A-409B-97D8-14487D75BAE4}" uniqueName="4" name="Promotion" queryTableFieldId="4" dataDxfId="12"/>
    <tableColumn id="5" xr3:uid="{11957224-45CF-46AB-9072-2EA5ECE82C1E}" uniqueName="5" name="Product Position" queryTableFieldId="5" dataDxfId="11"/>
    <tableColumn id="6" xr3:uid="{DEB72ABD-ED37-41E3-9FCE-631D0A2B5ABD}" uniqueName="6" name="Seasonal" queryTableFieldId="6" dataDxfId="10"/>
    <tableColumn id="7" xr3:uid="{3D3842D2-F84A-42D1-A215-514C1687A071}" uniqueName="7" name="Sales Volume" queryTableFieldId="7"/>
    <tableColumn id="8" xr3:uid="{6252FB60-E0C3-459C-BFCC-1639CFD35F38}" uniqueName="8" name="price" queryTableFieldId="8" dataCellStyle="Currency"/>
    <tableColumn id="9" xr3:uid="{D824FCB5-B700-4807-89E2-1074F64EDF5C}" uniqueName="9" name="Total sales" queryTableFieldId="9" dataDxfId="9" dataCellStyle="Currency"/>
    <tableColumn id="10" xr3:uid="{5D1BCBF5-DDE2-4630-824A-71AB0B775A5D}" uniqueName="10" name="currency" queryTableFieldId="10" dataDxfId="8"/>
    <tableColumn id="11" xr3:uid="{2A632F30-00E1-44FC-A5FA-8A392C393FBC}" uniqueName="11" name="section" queryTableFieldId="11" dataDxfId="7"/>
  </tableColumns>
  <tableStyleInfo name="TableStyleMedium7"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CA52-FD89-4514-9028-7C2CBB33576A}">
  <dimension ref="A1:R253"/>
  <sheetViews>
    <sheetView workbookViewId="0">
      <selection activeCell="R13" sqref="R13"/>
    </sheetView>
  </sheetViews>
  <sheetFormatPr defaultRowHeight="13.8" x14ac:dyDescent="0.25"/>
  <cols>
    <col min="1" max="1" width="44.59765625" customWidth="1"/>
    <col min="2" max="2" width="17.8984375" customWidth="1"/>
    <col min="3" max="3" width="14.3984375" customWidth="1"/>
    <col min="4" max="4" width="12.09765625" customWidth="1"/>
    <col min="5" max="5" width="17.09765625" customWidth="1"/>
    <col min="6" max="6" width="10.59765625" customWidth="1"/>
    <col min="7" max="7" width="14.3984375" customWidth="1"/>
    <col min="8" max="8" width="8.59765625" style="1" customWidth="1"/>
    <col min="9" max="9" width="14.09765625" customWidth="1"/>
    <col min="10" max="10" width="10.5" customWidth="1"/>
    <col min="11" max="11" width="9.09765625" customWidth="1"/>
    <col min="18" max="18" width="14.59765625" customWidth="1"/>
  </cols>
  <sheetData>
    <row r="1" spans="1:18" x14ac:dyDescent="0.25">
      <c r="A1" t="s">
        <v>0</v>
      </c>
      <c r="B1" t="s">
        <v>1</v>
      </c>
      <c r="C1" t="s">
        <v>2</v>
      </c>
      <c r="D1" t="s">
        <v>3</v>
      </c>
      <c r="E1" t="s">
        <v>4</v>
      </c>
      <c r="F1" t="s">
        <v>5</v>
      </c>
      <c r="G1" t="s">
        <v>6</v>
      </c>
      <c r="H1" s="1" t="s">
        <v>7</v>
      </c>
      <c r="I1" t="s">
        <v>8</v>
      </c>
      <c r="J1" t="s">
        <v>9</v>
      </c>
      <c r="K1" t="s">
        <v>10</v>
      </c>
    </row>
    <row r="2" spans="1:18" x14ac:dyDescent="0.25">
      <c r="A2" t="s">
        <v>11</v>
      </c>
      <c r="B2" t="s">
        <v>12</v>
      </c>
      <c r="C2" t="s">
        <v>13</v>
      </c>
      <c r="D2" t="s">
        <v>14</v>
      </c>
      <c r="E2" t="s">
        <v>15</v>
      </c>
      <c r="F2" t="s">
        <v>14</v>
      </c>
      <c r="G2">
        <v>2823</v>
      </c>
      <c r="H2" s="1">
        <v>19.989999999999998</v>
      </c>
      <c r="I2" s="2">
        <v>56431.77</v>
      </c>
      <c r="J2" t="s">
        <v>16</v>
      </c>
      <c r="K2" t="s">
        <v>17</v>
      </c>
    </row>
    <row r="3" spans="1:18" x14ac:dyDescent="0.25">
      <c r="A3" t="s">
        <v>18</v>
      </c>
      <c r="B3" t="s">
        <v>12</v>
      </c>
      <c r="C3" t="s">
        <v>13</v>
      </c>
      <c r="D3" t="s">
        <v>14</v>
      </c>
      <c r="E3" t="s">
        <v>15</v>
      </c>
      <c r="F3" t="s">
        <v>14</v>
      </c>
      <c r="G3">
        <v>654</v>
      </c>
      <c r="H3" s="1">
        <v>169</v>
      </c>
      <c r="I3" s="2">
        <v>110526</v>
      </c>
      <c r="J3" t="s">
        <v>16</v>
      </c>
      <c r="K3" t="s">
        <v>17</v>
      </c>
    </row>
    <row r="4" spans="1:18" x14ac:dyDescent="0.25">
      <c r="A4" t="s">
        <v>19</v>
      </c>
      <c r="B4" t="s">
        <v>12</v>
      </c>
      <c r="C4" t="s">
        <v>13</v>
      </c>
      <c r="D4" t="s">
        <v>20</v>
      </c>
      <c r="E4" t="s">
        <v>21</v>
      </c>
      <c r="F4" t="s">
        <v>20</v>
      </c>
      <c r="G4">
        <v>2220</v>
      </c>
      <c r="H4" s="1">
        <v>129</v>
      </c>
      <c r="I4" s="2">
        <v>286380</v>
      </c>
      <c r="J4" t="s">
        <v>16</v>
      </c>
      <c r="K4" t="s">
        <v>17</v>
      </c>
    </row>
    <row r="5" spans="1:18" x14ac:dyDescent="0.25">
      <c r="A5" t="s">
        <v>22</v>
      </c>
      <c r="B5" t="s">
        <v>12</v>
      </c>
      <c r="C5" t="s">
        <v>13</v>
      </c>
      <c r="D5" t="s">
        <v>20</v>
      </c>
      <c r="E5" t="s">
        <v>15</v>
      </c>
      <c r="F5" t="s">
        <v>20</v>
      </c>
      <c r="G5">
        <v>1568</v>
      </c>
      <c r="H5" s="1">
        <v>129</v>
      </c>
      <c r="I5" s="2">
        <v>202272</v>
      </c>
      <c r="J5" t="s">
        <v>16</v>
      </c>
      <c r="K5" t="s">
        <v>17</v>
      </c>
    </row>
    <row r="6" spans="1:18" x14ac:dyDescent="0.25">
      <c r="A6" t="s">
        <v>23</v>
      </c>
      <c r="B6" t="s">
        <v>12</v>
      </c>
      <c r="C6" t="s">
        <v>13</v>
      </c>
      <c r="D6" t="s">
        <v>14</v>
      </c>
      <c r="E6" t="s">
        <v>21</v>
      </c>
      <c r="F6" t="s">
        <v>20</v>
      </c>
      <c r="G6">
        <v>2942</v>
      </c>
      <c r="H6" s="1">
        <v>139</v>
      </c>
      <c r="I6" s="2">
        <v>408938</v>
      </c>
      <c r="J6" t="s">
        <v>16</v>
      </c>
      <c r="K6" t="s">
        <v>17</v>
      </c>
    </row>
    <row r="7" spans="1:18" x14ac:dyDescent="0.25">
      <c r="A7" t="s">
        <v>24</v>
      </c>
      <c r="B7" t="s">
        <v>12</v>
      </c>
      <c r="C7" t="s">
        <v>13</v>
      </c>
      <c r="D7" t="s">
        <v>14</v>
      </c>
      <c r="E7" t="s">
        <v>21</v>
      </c>
      <c r="F7" t="s">
        <v>14</v>
      </c>
      <c r="G7">
        <v>2968</v>
      </c>
      <c r="H7" s="1">
        <v>79.900000000000006</v>
      </c>
      <c r="I7" s="2">
        <v>237143.2</v>
      </c>
      <c r="J7" t="s">
        <v>16</v>
      </c>
      <c r="K7" t="s">
        <v>17</v>
      </c>
    </row>
    <row r="8" spans="1:18" x14ac:dyDescent="0.25">
      <c r="A8" t="s">
        <v>25</v>
      </c>
      <c r="B8" t="s">
        <v>12</v>
      </c>
      <c r="C8" t="s">
        <v>13</v>
      </c>
      <c r="D8" t="s">
        <v>20</v>
      </c>
      <c r="E8" t="s">
        <v>26</v>
      </c>
      <c r="F8" t="s">
        <v>20</v>
      </c>
      <c r="G8">
        <v>952</v>
      </c>
      <c r="H8" s="1">
        <v>69.989999999999995</v>
      </c>
      <c r="I8" s="2">
        <v>66630.48</v>
      </c>
      <c r="J8" t="s">
        <v>16</v>
      </c>
      <c r="K8" t="s">
        <v>17</v>
      </c>
    </row>
    <row r="9" spans="1:18" x14ac:dyDescent="0.25">
      <c r="A9" t="s">
        <v>27</v>
      </c>
      <c r="B9" t="s">
        <v>12</v>
      </c>
      <c r="C9" t="s">
        <v>13</v>
      </c>
      <c r="D9" t="s">
        <v>14</v>
      </c>
      <c r="E9" t="s">
        <v>15</v>
      </c>
      <c r="F9" t="s">
        <v>14</v>
      </c>
      <c r="G9">
        <v>2421</v>
      </c>
      <c r="H9" s="1">
        <v>159</v>
      </c>
      <c r="I9" s="2">
        <v>384939</v>
      </c>
      <c r="J9" t="s">
        <v>16</v>
      </c>
      <c r="K9" t="s">
        <v>17</v>
      </c>
    </row>
    <row r="10" spans="1:18" x14ac:dyDescent="0.25">
      <c r="A10" t="s">
        <v>28</v>
      </c>
      <c r="B10" t="s">
        <v>12</v>
      </c>
      <c r="C10" t="s">
        <v>13</v>
      </c>
      <c r="D10" t="s">
        <v>20</v>
      </c>
      <c r="E10" t="s">
        <v>15</v>
      </c>
      <c r="F10" t="s">
        <v>20</v>
      </c>
      <c r="G10">
        <v>1916</v>
      </c>
      <c r="H10" s="1">
        <v>169</v>
      </c>
      <c r="I10" s="2">
        <v>323804</v>
      </c>
      <c r="J10" t="s">
        <v>16</v>
      </c>
      <c r="K10" t="s">
        <v>17</v>
      </c>
    </row>
    <row r="11" spans="1:18" x14ac:dyDescent="0.25">
      <c r="A11" t="s">
        <v>29</v>
      </c>
      <c r="B11" t="s">
        <v>12</v>
      </c>
      <c r="C11" t="s">
        <v>13</v>
      </c>
      <c r="D11" t="s">
        <v>14</v>
      </c>
      <c r="E11" t="s">
        <v>15</v>
      </c>
      <c r="F11" t="s">
        <v>20</v>
      </c>
      <c r="G11">
        <v>656</v>
      </c>
      <c r="H11" s="1">
        <v>169</v>
      </c>
      <c r="I11" s="2">
        <v>110864</v>
      </c>
      <c r="J11" t="s">
        <v>16</v>
      </c>
      <c r="K11" t="s">
        <v>17</v>
      </c>
      <c r="R11" s="8">
        <f>SUM(zara[Total sales])</f>
        <v>38988476.479999997</v>
      </c>
    </row>
    <row r="12" spans="1:18" x14ac:dyDescent="0.25">
      <c r="A12" t="s">
        <v>30</v>
      </c>
      <c r="B12" t="s">
        <v>12</v>
      </c>
      <c r="C12" t="s">
        <v>13</v>
      </c>
      <c r="D12" t="s">
        <v>20</v>
      </c>
      <c r="E12" t="s">
        <v>15</v>
      </c>
      <c r="F12" t="s">
        <v>20</v>
      </c>
      <c r="G12">
        <v>2663</v>
      </c>
      <c r="H12" s="1">
        <v>129</v>
      </c>
      <c r="I12" s="2">
        <v>343527</v>
      </c>
      <c r="J12" t="s">
        <v>16</v>
      </c>
      <c r="K12" t="s">
        <v>17</v>
      </c>
      <c r="R12">
        <f>SUM(G:G)</f>
        <v>459573</v>
      </c>
    </row>
    <row r="13" spans="1:18" x14ac:dyDescent="0.25">
      <c r="A13" t="s">
        <v>31</v>
      </c>
      <c r="B13" t="s">
        <v>12</v>
      </c>
      <c r="C13" t="s">
        <v>13</v>
      </c>
      <c r="D13" t="s">
        <v>20</v>
      </c>
      <c r="E13" t="s">
        <v>15</v>
      </c>
      <c r="F13" t="s">
        <v>20</v>
      </c>
      <c r="G13">
        <v>1260</v>
      </c>
      <c r="H13" s="1">
        <v>159</v>
      </c>
      <c r="I13" s="2">
        <v>200340</v>
      </c>
      <c r="J13" t="s">
        <v>16</v>
      </c>
      <c r="K13" t="s">
        <v>17</v>
      </c>
      <c r="R13" s="6">
        <f>AVERAGE(H:H)</f>
        <v>86.252539682539961</v>
      </c>
    </row>
    <row r="14" spans="1:18" x14ac:dyDescent="0.25">
      <c r="A14" t="s">
        <v>32</v>
      </c>
      <c r="B14" t="s">
        <v>12</v>
      </c>
      <c r="C14" t="s">
        <v>13</v>
      </c>
      <c r="D14" t="s">
        <v>20</v>
      </c>
      <c r="E14" t="s">
        <v>15</v>
      </c>
      <c r="F14" t="s">
        <v>14</v>
      </c>
      <c r="G14">
        <v>2124</v>
      </c>
      <c r="H14" s="1">
        <v>169</v>
      </c>
      <c r="I14" s="2">
        <v>358956</v>
      </c>
      <c r="J14" t="s">
        <v>16</v>
      </c>
      <c r="K14" t="s">
        <v>17</v>
      </c>
    </row>
    <row r="15" spans="1:18" x14ac:dyDescent="0.25">
      <c r="A15" t="s">
        <v>33</v>
      </c>
      <c r="B15" t="s">
        <v>12</v>
      </c>
      <c r="C15" t="s">
        <v>13</v>
      </c>
      <c r="D15" t="s">
        <v>20</v>
      </c>
      <c r="E15" t="s">
        <v>26</v>
      </c>
      <c r="F15" t="s">
        <v>20</v>
      </c>
      <c r="G15">
        <v>729</v>
      </c>
      <c r="H15" s="1">
        <v>439</v>
      </c>
      <c r="I15" s="2">
        <v>320031</v>
      </c>
      <c r="J15" t="s">
        <v>16</v>
      </c>
      <c r="K15" t="s">
        <v>17</v>
      </c>
    </row>
    <row r="16" spans="1:18" x14ac:dyDescent="0.25">
      <c r="A16" t="s">
        <v>34</v>
      </c>
      <c r="B16" t="s">
        <v>12</v>
      </c>
      <c r="C16" t="s">
        <v>13</v>
      </c>
      <c r="D16" t="s">
        <v>20</v>
      </c>
      <c r="E16" t="s">
        <v>15</v>
      </c>
      <c r="F16" t="s">
        <v>20</v>
      </c>
      <c r="G16">
        <v>2265</v>
      </c>
      <c r="H16" s="1">
        <v>99.9</v>
      </c>
      <c r="I16" s="2">
        <v>226273.5</v>
      </c>
      <c r="J16" t="s">
        <v>16</v>
      </c>
      <c r="K16" t="s">
        <v>17</v>
      </c>
    </row>
    <row r="17" spans="1:11" x14ac:dyDescent="0.25">
      <c r="A17" t="s">
        <v>35</v>
      </c>
      <c r="B17" t="s">
        <v>12</v>
      </c>
      <c r="C17" t="s">
        <v>13</v>
      </c>
      <c r="D17" t="s">
        <v>14</v>
      </c>
      <c r="E17" t="s">
        <v>21</v>
      </c>
      <c r="F17" t="s">
        <v>14</v>
      </c>
      <c r="G17">
        <v>2226</v>
      </c>
      <c r="H17" s="1">
        <v>99.9</v>
      </c>
      <c r="I17" s="2">
        <v>222377.4</v>
      </c>
      <c r="J17" t="s">
        <v>16</v>
      </c>
      <c r="K17" t="s">
        <v>17</v>
      </c>
    </row>
    <row r="18" spans="1:11" x14ac:dyDescent="0.25">
      <c r="A18" t="s">
        <v>36</v>
      </c>
      <c r="B18" t="s">
        <v>12</v>
      </c>
      <c r="C18" t="s">
        <v>13</v>
      </c>
      <c r="D18" t="s">
        <v>14</v>
      </c>
      <c r="E18" t="s">
        <v>15</v>
      </c>
      <c r="F18" t="s">
        <v>14</v>
      </c>
      <c r="G18">
        <v>2089</v>
      </c>
      <c r="H18" s="1">
        <v>69.900000000000006</v>
      </c>
      <c r="I18" s="2">
        <v>146021.1</v>
      </c>
      <c r="J18" t="s">
        <v>16</v>
      </c>
      <c r="K18" t="s">
        <v>17</v>
      </c>
    </row>
    <row r="19" spans="1:11" x14ac:dyDescent="0.25">
      <c r="A19" t="s">
        <v>37</v>
      </c>
      <c r="B19" t="s">
        <v>12</v>
      </c>
      <c r="C19" t="s">
        <v>13</v>
      </c>
      <c r="D19" t="s">
        <v>20</v>
      </c>
      <c r="E19" t="s">
        <v>26</v>
      </c>
      <c r="F19" t="s">
        <v>20</v>
      </c>
      <c r="G19">
        <v>2339</v>
      </c>
      <c r="H19" s="1">
        <v>129</v>
      </c>
      <c r="I19" s="2">
        <v>301731</v>
      </c>
      <c r="J19" t="s">
        <v>16</v>
      </c>
      <c r="K19" t="s">
        <v>17</v>
      </c>
    </row>
    <row r="20" spans="1:11" x14ac:dyDescent="0.25">
      <c r="A20" t="s">
        <v>38</v>
      </c>
      <c r="B20" t="s">
        <v>12</v>
      </c>
      <c r="C20" t="s">
        <v>13</v>
      </c>
      <c r="D20" t="s">
        <v>14</v>
      </c>
      <c r="E20" t="s">
        <v>15</v>
      </c>
      <c r="F20" t="s">
        <v>20</v>
      </c>
      <c r="G20">
        <v>2321</v>
      </c>
      <c r="H20" s="1">
        <v>129</v>
      </c>
      <c r="I20" s="2">
        <v>299409</v>
      </c>
      <c r="J20" t="s">
        <v>16</v>
      </c>
      <c r="K20" t="s">
        <v>17</v>
      </c>
    </row>
    <row r="21" spans="1:11" x14ac:dyDescent="0.25">
      <c r="A21" t="s">
        <v>27</v>
      </c>
      <c r="B21" t="s">
        <v>12</v>
      </c>
      <c r="C21" t="s">
        <v>13</v>
      </c>
      <c r="D21" t="s">
        <v>14</v>
      </c>
      <c r="E21" t="s">
        <v>21</v>
      </c>
      <c r="F21" t="s">
        <v>14</v>
      </c>
      <c r="G21">
        <v>669</v>
      </c>
      <c r="H21" s="1">
        <v>159</v>
      </c>
      <c r="I21" s="2">
        <v>106371</v>
      </c>
      <c r="J21" t="s">
        <v>16</v>
      </c>
      <c r="K21" t="s">
        <v>17</v>
      </c>
    </row>
    <row r="22" spans="1:11" x14ac:dyDescent="0.25">
      <c r="A22" t="s">
        <v>39</v>
      </c>
      <c r="B22" t="s">
        <v>12</v>
      </c>
      <c r="C22" t="s">
        <v>13</v>
      </c>
      <c r="D22" t="s">
        <v>20</v>
      </c>
      <c r="E22" t="s">
        <v>21</v>
      </c>
      <c r="F22" t="s">
        <v>20</v>
      </c>
      <c r="G22">
        <v>1712</v>
      </c>
      <c r="H22" s="1">
        <v>109</v>
      </c>
      <c r="I22" s="2">
        <v>186608</v>
      </c>
      <c r="J22" t="s">
        <v>16</v>
      </c>
      <c r="K22" t="s">
        <v>17</v>
      </c>
    </row>
    <row r="23" spans="1:11" x14ac:dyDescent="0.25">
      <c r="A23" t="s">
        <v>40</v>
      </c>
      <c r="B23" t="s">
        <v>12</v>
      </c>
      <c r="C23" t="s">
        <v>13</v>
      </c>
      <c r="D23" t="s">
        <v>14</v>
      </c>
      <c r="E23" t="s">
        <v>26</v>
      </c>
      <c r="F23" t="s">
        <v>20</v>
      </c>
      <c r="G23">
        <v>1832</v>
      </c>
      <c r="H23" s="1">
        <v>89.9</v>
      </c>
      <c r="I23" s="2">
        <v>164696.79999999999</v>
      </c>
      <c r="J23" t="s">
        <v>16</v>
      </c>
      <c r="K23" t="s">
        <v>17</v>
      </c>
    </row>
    <row r="24" spans="1:11" x14ac:dyDescent="0.25">
      <c r="A24" t="s">
        <v>41</v>
      </c>
      <c r="B24" t="s">
        <v>12</v>
      </c>
      <c r="C24" t="s">
        <v>13</v>
      </c>
      <c r="D24" t="s">
        <v>20</v>
      </c>
      <c r="E24" t="s">
        <v>15</v>
      </c>
      <c r="F24" t="s">
        <v>14</v>
      </c>
      <c r="G24">
        <v>1290</v>
      </c>
      <c r="H24" s="1">
        <v>299</v>
      </c>
      <c r="I24" s="2">
        <v>385710</v>
      </c>
      <c r="J24" t="s">
        <v>16</v>
      </c>
      <c r="K24" t="s">
        <v>17</v>
      </c>
    </row>
    <row r="25" spans="1:11" x14ac:dyDescent="0.25">
      <c r="A25" t="s">
        <v>42</v>
      </c>
      <c r="B25" t="s">
        <v>12</v>
      </c>
      <c r="C25" t="s">
        <v>13</v>
      </c>
      <c r="D25" t="s">
        <v>14</v>
      </c>
      <c r="E25" t="s">
        <v>21</v>
      </c>
      <c r="F25" t="s">
        <v>14</v>
      </c>
      <c r="G25">
        <v>2356</v>
      </c>
      <c r="H25" s="1">
        <v>49.9</v>
      </c>
      <c r="I25" s="2">
        <v>117564.4</v>
      </c>
      <c r="J25" t="s">
        <v>16</v>
      </c>
      <c r="K25" t="s">
        <v>17</v>
      </c>
    </row>
    <row r="26" spans="1:11" x14ac:dyDescent="0.25">
      <c r="A26" t="s">
        <v>43</v>
      </c>
      <c r="B26" t="s">
        <v>12</v>
      </c>
      <c r="C26" t="s">
        <v>13</v>
      </c>
      <c r="D26" t="s">
        <v>20</v>
      </c>
      <c r="E26" t="s">
        <v>26</v>
      </c>
      <c r="F26" t="s">
        <v>14</v>
      </c>
      <c r="G26">
        <v>1524</v>
      </c>
      <c r="H26" s="1">
        <v>169</v>
      </c>
      <c r="I26" s="2">
        <v>257556</v>
      </c>
      <c r="J26" t="s">
        <v>16</v>
      </c>
      <c r="K26" t="s">
        <v>17</v>
      </c>
    </row>
    <row r="27" spans="1:11" x14ac:dyDescent="0.25">
      <c r="A27" t="s">
        <v>44</v>
      </c>
      <c r="B27" t="s">
        <v>12</v>
      </c>
      <c r="C27" t="s">
        <v>13</v>
      </c>
      <c r="D27" t="s">
        <v>20</v>
      </c>
      <c r="E27" t="s">
        <v>26</v>
      </c>
      <c r="F27" t="s">
        <v>14</v>
      </c>
      <c r="G27">
        <v>1644</v>
      </c>
      <c r="H27" s="1">
        <v>69.900000000000006</v>
      </c>
      <c r="I27" s="2">
        <v>114915.6</v>
      </c>
      <c r="J27" t="s">
        <v>16</v>
      </c>
      <c r="K27" t="s">
        <v>17</v>
      </c>
    </row>
    <row r="28" spans="1:11" x14ac:dyDescent="0.25">
      <c r="A28" t="s">
        <v>45</v>
      </c>
      <c r="B28" t="s">
        <v>12</v>
      </c>
      <c r="C28" t="s">
        <v>13</v>
      </c>
      <c r="D28" t="s">
        <v>14</v>
      </c>
      <c r="E28" t="s">
        <v>21</v>
      </c>
      <c r="F28" t="s">
        <v>14</v>
      </c>
      <c r="G28">
        <v>966</v>
      </c>
      <c r="H28" s="1">
        <v>89.9</v>
      </c>
      <c r="I28" s="2">
        <v>86843.4</v>
      </c>
      <c r="J28" t="s">
        <v>16</v>
      </c>
      <c r="K28" t="s">
        <v>17</v>
      </c>
    </row>
    <row r="29" spans="1:11" x14ac:dyDescent="0.25">
      <c r="A29" t="s">
        <v>46</v>
      </c>
      <c r="B29" t="s">
        <v>12</v>
      </c>
      <c r="C29" t="s">
        <v>13</v>
      </c>
      <c r="D29" t="s">
        <v>20</v>
      </c>
      <c r="E29" t="s">
        <v>26</v>
      </c>
      <c r="F29" t="s">
        <v>20</v>
      </c>
      <c r="G29">
        <v>2575</v>
      </c>
      <c r="H29" s="1">
        <v>59.9</v>
      </c>
      <c r="I29" s="2">
        <v>154242.5</v>
      </c>
      <c r="J29" t="s">
        <v>16</v>
      </c>
      <c r="K29" t="s">
        <v>17</v>
      </c>
    </row>
    <row r="30" spans="1:11" x14ac:dyDescent="0.25">
      <c r="A30" t="s">
        <v>47</v>
      </c>
      <c r="B30" t="s">
        <v>12</v>
      </c>
      <c r="C30" t="s">
        <v>13</v>
      </c>
      <c r="D30" t="s">
        <v>14</v>
      </c>
      <c r="E30" t="s">
        <v>26</v>
      </c>
      <c r="F30" t="s">
        <v>14</v>
      </c>
      <c r="G30">
        <v>2774</v>
      </c>
      <c r="H30" s="1">
        <v>109</v>
      </c>
      <c r="I30" s="2">
        <v>302366</v>
      </c>
      <c r="J30" t="s">
        <v>16</v>
      </c>
      <c r="K30" t="s">
        <v>17</v>
      </c>
    </row>
    <row r="31" spans="1:11" x14ac:dyDescent="0.25">
      <c r="A31" t="s">
        <v>48</v>
      </c>
      <c r="B31" t="s">
        <v>12</v>
      </c>
      <c r="C31" t="s">
        <v>13</v>
      </c>
      <c r="D31" t="s">
        <v>20</v>
      </c>
      <c r="E31" t="s">
        <v>26</v>
      </c>
      <c r="F31" t="s">
        <v>14</v>
      </c>
      <c r="G31">
        <v>2477</v>
      </c>
      <c r="H31" s="1">
        <v>159</v>
      </c>
      <c r="I31" s="2">
        <v>393843</v>
      </c>
      <c r="J31" t="s">
        <v>16</v>
      </c>
      <c r="K31" t="s">
        <v>17</v>
      </c>
    </row>
    <row r="32" spans="1:11" x14ac:dyDescent="0.25">
      <c r="A32" t="s">
        <v>49</v>
      </c>
      <c r="B32" t="s">
        <v>12</v>
      </c>
      <c r="C32" t="s">
        <v>13</v>
      </c>
      <c r="D32" t="s">
        <v>14</v>
      </c>
      <c r="E32" t="s">
        <v>26</v>
      </c>
      <c r="F32" t="s">
        <v>20</v>
      </c>
      <c r="G32">
        <v>2608</v>
      </c>
      <c r="H32" s="1">
        <v>129</v>
      </c>
      <c r="I32" s="2">
        <v>336432</v>
      </c>
      <c r="J32" t="s">
        <v>16</v>
      </c>
      <c r="K32" t="s">
        <v>17</v>
      </c>
    </row>
    <row r="33" spans="1:11" x14ac:dyDescent="0.25">
      <c r="A33" t="s">
        <v>45</v>
      </c>
      <c r="B33" t="s">
        <v>12</v>
      </c>
      <c r="C33" t="s">
        <v>13</v>
      </c>
      <c r="D33" t="s">
        <v>20</v>
      </c>
      <c r="E33" t="s">
        <v>15</v>
      </c>
      <c r="F33" t="s">
        <v>20</v>
      </c>
      <c r="G33">
        <v>2252</v>
      </c>
      <c r="H33" s="1">
        <v>129</v>
      </c>
      <c r="I33" s="2">
        <v>290508</v>
      </c>
      <c r="J33" t="s">
        <v>16</v>
      </c>
      <c r="K33" t="s">
        <v>17</v>
      </c>
    </row>
    <row r="34" spans="1:11" x14ac:dyDescent="0.25">
      <c r="A34" t="s">
        <v>50</v>
      </c>
      <c r="B34" t="s">
        <v>12</v>
      </c>
      <c r="C34" t="s">
        <v>13</v>
      </c>
      <c r="D34" t="s">
        <v>20</v>
      </c>
      <c r="E34" t="s">
        <v>21</v>
      </c>
      <c r="F34" t="s">
        <v>14</v>
      </c>
      <c r="G34">
        <v>2074</v>
      </c>
      <c r="H34" s="1">
        <v>129</v>
      </c>
      <c r="I34" s="2">
        <v>267546</v>
      </c>
      <c r="J34" t="s">
        <v>16</v>
      </c>
      <c r="K34" t="s">
        <v>17</v>
      </c>
    </row>
    <row r="35" spans="1:11" x14ac:dyDescent="0.25">
      <c r="A35" t="s">
        <v>25</v>
      </c>
      <c r="B35" t="s">
        <v>12</v>
      </c>
      <c r="C35" t="s">
        <v>13</v>
      </c>
      <c r="D35" t="s">
        <v>20</v>
      </c>
      <c r="E35" t="s">
        <v>21</v>
      </c>
      <c r="F35" t="s">
        <v>14</v>
      </c>
      <c r="G35">
        <v>2579</v>
      </c>
      <c r="H35" s="1">
        <v>109</v>
      </c>
      <c r="I35" s="2">
        <v>281111</v>
      </c>
      <c r="J35" t="s">
        <v>16</v>
      </c>
      <c r="K35" t="s">
        <v>17</v>
      </c>
    </row>
    <row r="36" spans="1:11" x14ac:dyDescent="0.25">
      <c r="A36" t="s">
        <v>44</v>
      </c>
      <c r="B36" t="s">
        <v>12</v>
      </c>
      <c r="C36" t="s">
        <v>13</v>
      </c>
      <c r="D36" t="s">
        <v>20</v>
      </c>
      <c r="E36" t="s">
        <v>15</v>
      </c>
      <c r="F36" t="s">
        <v>14</v>
      </c>
      <c r="G36">
        <v>2931</v>
      </c>
      <c r="H36" s="1">
        <v>109</v>
      </c>
      <c r="I36" s="2">
        <v>319479</v>
      </c>
      <c r="J36" t="s">
        <v>16</v>
      </c>
      <c r="K36" t="s">
        <v>17</v>
      </c>
    </row>
    <row r="37" spans="1:11" x14ac:dyDescent="0.25">
      <c r="A37" t="s">
        <v>51</v>
      </c>
      <c r="B37" t="s">
        <v>12</v>
      </c>
      <c r="C37" t="s">
        <v>13</v>
      </c>
      <c r="D37" t="s">
        <v>14</v>
      </c>
      <c r="E37" t="s">
        <v>21</v>
      </c>
      <c r="F37" t="s">
        <v>20</v>
      </c>
      <c r="G37">
        <v>1145</v>
      </c>
      <c r="H37" s="1">
        <v>109</v>
      </c>
      <c r="I37" s="2">
        <v>124805</v>
      </c>
      <c r="J37" t="s">
        <v>16</v>
      </c>
      <c r="K37" t="s">
        <v>17</v>
      </c>
    </row>
    <row r="38" spans="1:11" x14ac:dyDescent="0.25">
      <c r="A38" t="s">
        <v>52</v>
      </c>
      <c r="B38" t="s">
        <v>12</v>
      </c>
      <c r="C38" t="s">
        <v>13</v>
      </c>
      <c r="D38" t="s">
        <v>14</v>
      </c>
      <c r="E38" t="s">
        <v>21</v>
      </c>
      <c r="F38" t="s">
        <v>14</v>
      </c>
      <c r="G38">
        <v>1792</v>
      </c>
      <c r="H38" s="1">
        <v>89.9</v>
      </c>
      <c r="I38" s="2">
        <v>161100.79999999999</v>
      </c>
      <c r="J38" t="s">
        <v>16</v>
      </c>
      <c r="K38" t="s">
        <v>17</v>
      </c>
    </row>
    <row r="39" spans="1:11" x14ac:dyDescent="0.25">
      <c r="A39" t="s">
        <v>36</v>
      </c>
      <c r="B39" t="s">
        <v>12</v>
      </c>
      <c r="C39" t="s">
        <v>13</v>
      </c>
      <c r="D39" t="s">
        <v>14</v>
      </c>
      <c r="E39" t="s">
        <v>15</v>
      </c>
      <c r="F39" t="s">
        <v>20</v>
      </c>
      <c r="G39">
        <v>1796</v>
      </c>
      <c r="H39" s="1">
        <v>69.900000000000006</v>
      </c>
      <c r="I39" s="2">
        <v>125540.4</v>
      </c>
      <c r="J39" t="s">
        <v>16</v>
      </c>
      <c r="K39" t="s">
        <v>17</v>
      </c>
    </row>
    <row r="40" spans="1:11" x14ac:dyDescent="0.25">
      <c r="A40" t="s">
        <v>53</v>
      </c>
      <c r="B40" t="s">
        <v>12</v>
      </c>
      <c r="C40" t="s">
        <v>13</v>
      </c>
      <c r="D40" t="s">
        <v>14</v>
      </c>
      <c r="E40" t="s">
        <v>15</v>
      </c>
      <c r="F40" t="s">
        <v>14</v>
      </c>
      <c r="G40">
        <v>1860</v>
      </c>
      <c r="H40" s="1">
        <v>349</v>
      </c>
      <c r="I40" s="2">
        <v>649140</v>
      </c>
      <c r="J40" t="s">
        <v>16</v>
      </c>
      <c r="K40" t="s">
        <v>17</v>
      </c>
    </row>
    <row r="41" spans="1:11" x14ac:dyDescent="0.25">
      <c r="A41" t="s">
        <v>24</v>
      </c>
      <c r="B41" t="s">
        <v>12</v>
      </c>
      <c r="C41" t="s">
        <v>13</v>
      </c>
      <c r="D41" t="s">
        <v>20</v>
      </c>
      <c r="E41" t="s">
        <v>21</v>
      </c>
      <c r="F41" t="s">
        <v>20</v>
      </c>
      <c r="G41">
        <v>1002</v>
      </c>
      <c r="H41" s="1">
        <v>79.900000000000006</v>
      </c>
      <c r="I41" s="2">
        <v>80059.8</v>
      </c>
      <c r="J41" t="s">
        <v>16</v>
      </c>
      <c r="K41" t="s">
        <v>17</v>
      </c>
    </row>
    <row r="42" spans="1:11" x14ac:dyDescent="0.25">
      <c r="A42" t="s">
        <v>54</v>
      </c>
      <c r="B42" t="s">
        <v>12</v>
      </c>
      <c r="C42" t="s">
        <v>13</v>
      </c>
      <c r="D42" t="s">
        <v>14</v>
      </c>
      <c r="E42" t="s">
        <v>26</v>
      </c>
      <c r="F42" t="s">
        <v>20</v>
      </c>
      <c r="G42">
        <v>2063</v>
      </c>
      <c r="H42" s="1">
        <v>79.900000000000006</v>
      </c>
      <c r="I42" s="2">
        <v>164833.70000000001</v>
      </c>
      <c r="J42" t="s">
        <v>16</v>
      </c>
      <c r="K42" t="s">
        <v>17</v>
      </c>
    </row>
    <row r="43" spans="1:11" x14ac:dyDescent="0.25">
      <c r="A43" t="s">
        <v>55</v>
      </c>
      <c r="B43" t="s">
        <v>12</v>
      </c>
      <c r="C43" t="s">
        <v>13</v>
      </c>
      <c r="D43" t="s">
        <v>14</v>
      </c>
      <c r="E43" t="s">
        <v>15</v>
      </c>
      <c r="F43" t="s">
        <v>14</v>
      </c>
      <c r="G43">
        <v>1165</v>
      </c>
      <c r="H43" s="1">
        <v>89.9</v>
      </c>
      <c r="I43" s="2">
        <v>104733.5</v>
      </c>
      <c r="J43" t="s">
        <v>16</v>
      </c>
      <c r="K43" t="s">
        <v>17</v>
      </c>
    </row>
    <row r="44" spans="1:11" x14ac:dyDescent="0.25">
      <c r="A44" t="s">
        <v>56</v>
      </c>
      <c r="B44" t="s">
        <v>12</v>
      </c>
      <c r="C44" t="s">
        <v>13</v>
      </c>
      <c r="D44" t="s">
        <v>20</v>
      </c>
      <c r="E44" t="s">
        <v>15</v>
      </c>
      <c r="F44" t="s">
        <v>14</v>
      </c>
      <c r="G44">
        <v>2071</v>
      </c>
      <c r="H44" s="1">
        <v>129</v>
      </c>
      <c r="I44" s="2">
        <v>267159</v>
      </c>
      <c r="J44" t="s">
        <v>16</v>
      </c>
      <c r="K44" t="s">
        <v>17</v>
      </c>
    </row>
    <row r="45" spans="1:11" x14ac:dyDescent="0.25">
      <c r="A45" t="s">
        <v>57</v>
      </c>
      <c r="B45" t="s">
        <v>12</v>
      </c>
      <c r="C45" t="s">
        <v>13</v>
      </c>
      <c r="D45" t="s">
        <v>14</v>
      </c>
      <c r="E45" t="s">
        <v>21</v>
      </c>
      <c r="F45" t="s">
        <v>14</v>
      </c>
      <c r="G45">
        <v>1474</v>
      </c>
      <c r="H45" s="1">
        <v>109</v>
      </c>
      <c r="I45" s="2">
        <v>160666</v>
      </c>
      <c r="J45" t="s">
        <v>16</v>
      </c>
      <c r="K45" t="s">
        <v>17</v>
      </c>
    </row>
    <row r="46" spans="1:11" x14ac:dyDescent="0.25">
      <c r="A46" t="s">
        <v>35</v>
      </c>
      <c r="B46" t="s">
        <v>12</v>
      </c>
      <c r="C46" t="s">
        <v>13</v>
      </c>
      <c r="D46" t="s">
        <v>14</v>
      </c>
      <c r="E46" t="s">
        <v>21</v>
      </c>
      <c r="F46" t="s">
        <v>14</v>
      </c>
      <c r="G46">
        <v>2202</v>
      </c>
      <c r="H46" s="1">
        <v>69.900000000000006</v>
      </c>
      <c r="I46" s="2">
        <v>153919.79999999999</v>
      </c>
      <c r="J46" t="s">
        <v>16</v>
      </c>
      <c r="K46" t="s">
        <v>17</v>
      </c>
    </row>
    <row r="47" spans="1:11" x14ac:dyDescent="0.25">
      <c r="A47" t="s">
        <v>52</v>
      </c>
      <c r="B47" t="s">
        <v>12</v>
      </c>
      <c r="C47" t="s">
        <v>13</v>
      </c>
      <c r="D47" t="s">
        <v>14</v>
      </c>
      <c r="E47" t="s">
        <v>15</v>
      </c>
      <c r="F47" t="s">
        <v>14</v>
      </c>
      <c r="G47">
        <v>665</v>
      </c>
      <c r="H47" s="1">
        <v>89.9</v>
      </c>
      <c r="I47" s="2">
        <v>59783.5</v>
      </c>
      <c r="J47" t="s">
        <v>16</v>
      </c>
      <c r="K47" t="s">
        <v>17</v>
      </c>
    </row>
    <row r="48" spans="1:11" x14ac:dyDescent="0.25">
      <c r="A48" t="s">
        <v>58</v>
      </c>
      <c r="B48" t="s">
        <v>12</v>
      </c>
      <c r="C48" t="s">
        <v>13</v>
      </c>
      <c r="D48" t="s">
        <v>14</v>
      </c>
      <c r="E48" t="s">
        <v>26</v>
      </c>
      <c r="F48" t="s">
        <v>14</v>
      </c>
      <c r="G48">
        <v>2478</v>
      </c>
      <c r="H48" s="1">
        <v>69.900000000000006</v>
      </c>
      <c r="I48" s="2">
        <v>173212.2</v>
      </c>
      <c r="J48" t="s">
        <v>16</v>
      </c>
      <c r="K48" t="s">
        <v>17</v>
      </c>
    </row>
    <row r="49" spans="1:11" x14ac:dyDescent="0.25">
      <c r="A49" t="s">
        <v>59</v>
      </c>
      <c r="B49" t="s">
        <v>12</v>
      </c>
      <c r="C49" t="s">
        <v>13</v>
      </c>
      <c r="D49" t="s">
        <v>20</v>
      </c>
      <c r="E49" t="s">
        <v>21</v>
      </c>
      <c r="F49" t="s">
        <v>14</v>
      </c>
      <c r="G49">
        <v>647</v>
      </c>
      <c r="H49" s="1">
        <v>89.9</v>
      </c>
      <c r="I49" s="2">
        <v>58165.3</v>
      </c>
      <c r="J49" t="s">
        <v>16</v>
      </c>
      <c r="K49" t="s">
        <v>17</v>
      </c>
    </row>
    <row r="50" spans="1:11" x14ac:dyDescent="0.25">
      <c r="A50" t="s">
        <v>60</v>
      </c>
      <c r="B50" t="s">
        <v>12</v>
      </c>
      <c r="C50" t="s">
        <v>13</v>
      </c>
      <c r="D50" t="s">
        <v>20</v>
      </c>
      <c r="E50" t="s">
        <v>26</v>
      </c>
      <c r="F50" t="s">
        <v>14</v>
      </c>
      <c r="G50">
        <v>707</v>
      </c>
      <c r="H50" s="1">
        <v>89.9</v>
      </c>
      <c r="I50" s="2">
        <v>63559.3</v>
      </c>
      <c r="J50" t="s">
        <v>16</v>
      </c>
      <c r="K50" t="s">
        <v>17</v>
      </c>
    </row>
    <row r="51" spans="1:11" x14ac:dyDescent="0.25">
      <c r="A51" t="s">
        <v>61</v>
      </c>
      <c r="B51" t="s">
        <v>12</v>
      </c>
      <c r="C51" t="s">
        <v>13</v>
      </c>
      <c r="D51" t="s">
        <v>20</v>
      </c>
      <c r="E51" t="s">
        <v>21</v>
      </c>
      <c r="F51" t="s">
        <v>14</v>
      </c>
      <c r="G51">
        <v>2729</v>
      </c>
      <c r="H51" s="1">
        <v>89.9</v>
      </c>
      <c r="I51" s="2">
        <v>245337.1</v>
      </c>
      <c r="J51" t="s">
        <v>16</v>
      </c>
      <c r="K51" t="s">
        <v>17</v>
      </c>
    </row>
    <row r="52" spans="1:11" x14ac:dyDescent="0.25">
      <c r="A52" t="s">
        <v>51</v>
      </c>
      <c r="B52" t="s">
        <v>12</v>
      </c>
      <c r="C52" t="s">
        <v>13</v>
      </c>
      <c r="D52" t="s">
        <v>14</v>
      </c>
      <c r="E52" t="s">
        <v>26</v>
      </c>
      <c r="F52" t="s">
        <v>14</v>
      </c>
      <c r="G52">
        <v>1590</v>
      </c>
      <c r="H52" s="1">
        <v>89.9</v>
      </c>
      <c r="I52" s="2">
        <v>142941</v>
      </c>
      <c r="J52" t="s">
        <v>16</v>
      </c>
      <c r="K52" t="s">
        <v>17</v>
      </c>
    </row>
    <row r="53" spans="1:11" x14ac:dyDescent="0.25">
      <c r="A53" t="s">
        <v>62</v>
      </c>
      <c r="B53" t="s">
        <v>12</v>
      </c>
      <c r="C53" t="s">
        <v>13</v>
      </c>
      <c r="D53" t="s">
        <v>20</v>
      </c>
      <c r="E53" t="s">
        <v>21</v>
      </c>
      <c r="F53" t="s">
        <v>14</v>
      </c>
      <c r="G53">
        <v>1245</v>
      </c>
      <c r="H53" s="1">
        <v>89.9</v>
      </c>
      <c r="I53" s="2">
        <v>111925.5</v>
      </c>
      <c r="J53" t="s">
        <v>16</v>
      </c>
      <c r="K53" t="s">
        <v>17</v>
      </c>
    </row>
    <row r="54" spans="1:11" x14ac:dyDescent="0.25">
      <c r="A54" t="s">
        <v>63</v>
      </c>
      <c r="B54" t="s">
        <v>12</v>
      </c>
      <c r="C54" t="s">
        <v>13</v>
      </c>
      <c r="D54" t="s">
        <v>14</v>
      </c>
      <c r="E54" t="s">
        <v>26</v>
      </c>
      <c r="F54" t="s">
        <v>20</v>
      </c>
      <c r="G54">
        <v>2498</v>
      </c>
      <c r="H54" s="1">
        <v>129</v>
      </c>
      <c r="I54" s="2">
        <v>322242</v>
      </c>
      <c r="J54" t="s">
        <v>16</v>
      </c>
      <c r="K54" t="s">
        <v>17</v>
      </c>
    </row>
    <row r="55" spans="1:11" x14ac:dyDescent="0.25">
      <c r="A55" t="s">
        <v>64</v>
      </c>
      <c r="B55" t="s">
        <v>12</v>
      </c>
      <c r="C55" t="s">
        <v>13</v>
      </c>
      <c r="D55" t="s">
        <v>14</v>
      </c>
      <c r="E55" t="s">
        <v>26</v>
      </c>
      <c r="F55" t="s">
        <v>20</v>
      </c>
      <c r="G55">
        <v>1041</v>
      </c>
      <c r="H55" s="1">
        <v>129</v>
      </c>
      <c r="I55" s="2">
        <v>134289</v>
      </c>
      <c r="J55" t="s">
        <v>16</v>
      </c>
      <c r="K55" t="s">
        <v>17</v>
      </c>
    </row>
    <row r="56" spans="1:11" x14ac:dyDescent="0.25">
      <c r="A56" t="s">
        <v>65</v>
      </c>
      <c r="B56" t="s">
        <v>12</v>
      </c>
      <c r="C56" t="s">
        <v>13</v>
      </c>
      <c r="D56" t="s">
        <v>14</v>
      </c>
      <c r="E56" t="s">
        <v>21</v>
      </c>
      <c r="F56" t="s">
        <v>20</v>
      </c>
      <c r="G56">
        <v>1717</v>
      </c>
      <c r="H56" s="1">
        <v>19.989999999999998</v>
      </c>
      <c r="I56" s="2">
        <v>34322.83</v>
      </c>
      <c r="J56" t="s">
        <v>16</v>
      </c>
      <c r="K56" t="s">
        <v>17</v>
      </c>
    </row>
    <row r="57" spans="1:11" x14ac:dyDescent="0.25">
      <c r="A57" t="s">
        <v>66</v>
      </c>
      <c r="B57" t="s">
        <v>12</v>
      </c>
      <c r="C57" t="s">
        <v>13</v>
      </c>
      <c r="D57" t="s">
        <v>20</v>
      </c>
      <c r="E57" t="s">
        <v>26</v>
      </c>
      <c r="F57" t="s">
        <v>20</v>
      </c>
      <c r="G57">
        <v>2859</v>
      </c>
      <c r="H57" s="1">
        <v>89.9</v>
      </c>
      <c r="I57" s="2">
        <v>257024.1</v>
      </c>
      <c r="J57" t="s">
        <v>16</v>
      </c>
      <c r="K57" t="s">
        <v>17</v>
      </c>
    </row>
    <row r="58" spans="1:11" x14ac:dyDescent="0.25">
      <c r="A58" t="s">
        <v>67</v>
      </c>
      <c r="B58" t="s">
        <v>12</v>
      </c>
      <c r="C58" t="s">
        <v>13</v>
      </c>
      <c r="D58" t="s">
        <v>20</v>
      </c>
      <c r="E58" t="s">
        <v>15</v>
      </c>
      <c r="F58" t="s">
        <v>14</v>
      </c>
      <c r="G58">
        <v>1658</v>
      </c>
      <c r="H58" s="1">
        <v>129</v>
      </c>
      <c r="I58" s="2">
        <v>213882</v>
      </c>
      <c r="J58" t="s">
        <v>16</v>
      </c>
      <c r="K58" t="s">
        <v>17</v>
      </c>
    </row>
    <row r="59" spans="1:11" x14ac:dyDescent="0.25">
      <c r="A59" t="s">
        <v>68</v>
      </c>
      <c r="B59" t="s">
        <v>12</v>
      </c>
      <c r="C59" t="s">
        <v>13</v>
      </c>
      <c r="D59" t="s">
        <v>14</v>
      </c>
      <c r="E59" t="s">
        <v>21</v>
      </c>
      <c r="F59" t="s">
        <v>20</v>
      </c>
      <c r="G59">
        <v>706</v>
      </c>
      <c r="H59" s="1">
        <v>89.9</v>
      </c>
      <c r="I59" s="2">
        <v>63469.4</v>
      </c>
      <c r="J59" t="s">
        <v>16</v>
      </c>
      <c r="K59" t="s">
        <v>17</v>
      </c>
    </row>
    <row r="60" spans="1:11" x14ac:dyDescent="0.25">
      <c r="A60" t="s">
        <v>69</v>
      </c>
      <c r="B60" t="s">
        <v>12</v>
      </c>
      <c r="C60" t="s">
        <v>13</v>
      </c>
      <c r="D60" t="s">
        <v>20</v>
      </c>
      <c r="E60" t="s">
        <v>21</v>
      </c>
      <c r="F60" t="s">
        <v>20</v>
      </c>
      <c r="G60">
        <v>2065</v>
      </c>
      <c r="H60" s="1">
        <v>79.900000000000006</v>
      </c>
      <c r="I60" s="2">
        <v>164993.5</v>
      </c>
      <c r="J60" t="s">
        <v>16</v>
      </c>
      <c r="K60" t="s">
        <v>17</v>
      </c>
    </row>
    <row r="61" spans="1:11" x14ac:dyDescent="0.25">
      <c r="A61" t="s">
        <v>70</v>
      </c>
      <c r="B61" t="s">
        <v>12</v>
      </c>
      <c r="C61" t="s">
        <v>13</v>
      </c>
      <c r="D61" t="s">
        <v>14</v>
      </c>
      <c r="E61" t="s">
        <v>26</v>
      </c>
      <c r="F61" t="s">
        <v>20</v>
      </c>
      <c r="G61">
        <v>1917</v>
      </c>
      <c r="H61" s="1">
        <v>89.9</v>
      </c>
      <c r="I61" s="2">
        <v>172338.3</v>
      </c>
      <c r="J61" t="s">
        <v>16</v>
      </c>
      <c r="K61" t="s">
        <v>17</v>
      </c>
    </row>
    <row r="62" spans="1:11" x14ac:dyDescent="0.25">
      <c r="A62" t="s">
        <v>71</v>
      </c>
      <c r="B62" t="s">
        <v>12</v>
      </c>
      <c r="C62" t="s">
        <v>13</v>
      </c>
      <c r="D62" t="s">
        <v>20</v>
      </c>
      <c r="E62" t="s">
        <v>21</v>
      </c>
      <c r="F62" t="s">
        <v>20</v>
      </c>
      <c r="G62">
        <v>2179</v>
      </c>
      <c r="H62" s="1">
        <v>299</v>
      </c>
      <c r="I62" s="2">
        <v>651521</v>
      </c>
      <c r="J62" t="s">
        <v>16</v>
      </c>
      <c r="K62" t="s">
        <v>17</v>
      </c>
    </row>
    <row r="63" spans="1:11" x14ac:dyDescent="0.25">
      <c r="A63" t="s">
        <v>72</v>
      </c>
      <c r="B63" t="s">
        <v>12</v>
      </c>
      <c r="C63" t="s">
        <v>13</v>
      </c>
      <c r="D63" t="s">
        <v>14</v>
      </c>
      <c r="E63" t="s">
        <v>26</v>
      </c>
      <c r="F63" t="s">
        <v>14</v>
      </c>
      <c r="G63">
        <v>1633</v>
      </c>
      <c r="H63" s="1">
        <v>89.9</v>
      </c>
      <c r="I63" s="2">
        <v>146806.70000000001</v>
      </c>
      <c r="J63" t="s">
        <v>16</v>
      </c>
      <c r="K63" t="s">
        <v>17</v>
      </c>
    </row>
    <row r="64" spans="1:11" x14ac:dyDescent="0.25">
      <c r="A64" t="s">
        <v>73</v>
      </c>
      <c r="B64" t="s">
        <v>12</v>
      </c>
      <c r="C64" t="s">
        <v>13</v>
      </c>
      <c r="D64" t="s">
        <v>20</v>
      </c>
      <c r="E64" t="s">
        <v>15</v>
      </c>
      <c r="F64" t="s">
        <v>20</v>
      </c>
      <c r="G64">
        <v>1513</v>
      </c>
      <c r="H64" s="1">
        <v>109</v>
      </c>
      <c r="I64" s="2">
        <v>164917</v>
      </c>
      <c r="J64" t="s">
        <v>16</v>
      </c>
      <c r="K64" t="s">
        <v>17</v>
      </c>
    </row>
    <row r="65" spans="1:11" x14ac:dyDescent="0.25">
      <c r="A65" t="s">
        <v>74</v>
      </c>
      <c r="B65" t="s">
        <v>12</v>
      </c>
      <c r="C65" t="s">
        <v>13</v>
      </c>
      <c r="D65" t="s">
        <v>20</v>
      </c>
      <c r="E65" t="s">
        <v>15</v>
      </c>
      <c r="F65" t="s">
        <v>20</v>
      </c>
      <c r="G65">
        <v>758</v>
      </c>
      <c r="H65" s="1">
        <v>109</v>
      </c>
      <c r="I65" s="2">
        <v>82622</v>
      </c>
      <c r="J65" t="s">
        <v>16</v>
      </c>
      <c r="K65" t="s">
        <v>17</v>
      </c>
    </row>
    <row r="66" spans="1:11" x14ac:dyDescent="0.25">
      <c r="A66" t="s">
        <v>75</v>
      </c>
      <c r="B66" t="s">
        <v>12</v>
      </c>
      <c r="C66" t="s">
        <v>13</v>
      </c>
      <c r="D66" t="s">
        <v>20</v>
      </c>
      <c r="E66" t="s">
        <v>21</v>
      </c>
      <c r="F66" t="s">
        <v>14</v>
      </c>
      <c r="G66">
        <v>718</v>
      </c>
      <c r="H66" s="1">
        <v>109</v>
      </c>
      <c r="I66" s="2">
        <v>78262</v>
      </c>
      <c r="J66" t="s">
        <v>16</v>
      </c>
      <c r="K66" t="s">
        <v>17</v>
      </c>
    </row>
    <row r="67" spans="1:11" x14ac:dyDescent="0.25">
      <c r="A67" t="s">
        <v>76</v>
      </c>
      <c r="B67" t="s">
        <v>12</v>
      </c>
      <c r="C67" t="s">
        <v>13</v>
      </c>
      <c r="D67" t="s">
        <v>14</v>
      </c>
      <c r="E67" t="s">
        <v>15</v>
      </c>
      <c r="F67" t="s">
        <v>20</v>
      </c>
      <c r="G67">
        <v>1412</v>
      </c>
      <c r="H67" s="1">
        <v>59.9</v>
      </c>
      <c r="I67" s="2">
        <v>84578.8</v>
      </c>
      <c r="J67" t="s">
        <v>16</v>
      </c>
      <c r="K67" t="s">
        <v>17</v>
      </c>
    </row>
    <row r="68" spans="1:11" x14ac:dyDescent="0.25">
      <c r="A68" t="s">
        <v>77</v>
      </c>
      <c r="B68" t="s">
        <v>12</v>
      </c>
      <c r="C68" t="s">
        <v>13</v>
      </c>
      <c r="D68" t="s">
        <v>14</v>
      </c>
      <c r="E68" t="s">
        <v>15</v>
      </c>
      <c r="F68" t="s">
        <v>14</v>
      </c>
      <c r="G68">
        <v>2929</v>
      </c>
      <c r="H68" s="1">
        <v>29.99</v>
      </c>
      <c r="I68" s="2">
        <v>87840.71</v>
      </c>
      <c r="J68" t="s">
        <v>16</v>
      </c>
      <c r="K68" t="s">
        <v>17</v>
      </c>
    </row>
    <row r="69" spans="1:11" x14ac:dyDescent="0.25">
      <c r="A69" t="s">
        <v>78</v>
      </c>
      <c r="B69" t="s">
        <v>12</v>
      </c>
      <c r="C69" t="s">
        <v>13</v>
      </c>
      <c r="D69" t="s">
        <v>20</v>
      </c>
      <c r="E69" t="s">
        <v>21</v>
      </c>
      <c r="F69" t="s">
        <v>20</v>
      </c>
      <c r="G69">
        <v>2366</v>
      </c>
      <c r="H69" s="1">
        <v>189</v>
      </c>
      <c r="I69" s="2">
        <v>447174</v>
      </c>
      <c r="J69" t="s">
        <v>16</v>
      </c>
      <c r="K69" t="s">
        <v>17</v>
      </c>
    </row>
    <row r="70" spans="1:11" x14ac:dyDescent="0.25">
      <c r="A70" t="s">
        <v>79</v>
      </c>
      <c r="B70" t="s">
        <v>12</v>
      </c>
      <c r="C70" t="s">
        <v>13</v>
      </c>
      <c r="D70" t="s">
        <v>14</v>
      </c>
      <c r="E70" t="s">
        <v>15</v>
      </c>
      <c r="F70" t="s">
        <v>14</v>
      </c>
      <c r="G70">
        <v>2749</v>
      </c>
      <c r="H70" s="1">
        <v>89.9</v>
      </c>
      <c r="I70" s="2">
        <v>247135.1</v>
      </c>
      <c r="J70" t="s">
        <v>16</v>
      </c>
      <c r="K70" t="s">
        <v>17</v>
      </c>
    </row>
    <row r="71" spans="1:11" x14ac:dyDescent="0.25">
      <c r="A71" t="s">
        <v>80</v>
      </c>
      <c r="B71" t="s">
        <v>12</v>
      </c>
      <c r="C71" t="s">
        <v>13</v>
      </c>
      <c r="D71" t="s">
        <v>14</v>
      </c>
      <c r="E71" t="s">
        <v>26</v>
      </c>
      <c r="F71" t="s">
        <v>14</v>
      </c>
      <c r="G71">
        <v>2019</v>
      </c>
      <c r="H71" s="1">
        <v>69.900000000000006</v>
      </c>
      <c r="I71" s="2">
        <v>141128.1</v>
      </c>
      <c r="J71" t="s">
        <v>16</v>
      </c>
      <c r="K71" t="s">
        <v>17</v>
      </c>
    </row>
    <row r="72" spans="1:11" x14ac:dyDescent="0.25">
      <c r="A72" t="s">
        <v>81</v>
      </c>
      <c r="B72" t="s">
        <v>12</v>
      </c>
      <c r="C72" t="s">
        <v>13</v>
      </c>
      <c r="D72" t="s">
        <v>14</v>
      </c>
      <c r="E72" t="s">
        <v>15</v>
      </c>
      <c r="F72" t="s">
        <v>20</v>
      </c>
      <c r="G72">
        <v>1506</v>
      </c>
      <c r="H72" s="1">
        <v>109</v>
      </c>
      <c r="I72" s="2">
        <v>164154</v>
      </c>
      <c r="J72" t="s">
        <v>16</v>
      </c>
      <c r="K72" t="s">
        <v>17</v>
      </c>
    </row>
    <row r="73" spans="1:11" x14ac:dyDescent="0.25">
      <c r="A73" t="s">
        <v>82</v>
      </c>
      <c r="B73" t="s">
        <v>12</v>
      </c>
      <c r="C73" t="s">
        <v>13</v>
      </c>
      <c r="D73" t="s">
        <v>14</v>
      </c>
      <c r="E73" t="s">
        <v>21</v>
      </c>
      <c r="F73" t="s">
        <v>14</v>
      </c>
      <c r="G73">
        <v>1012</v>
      </c>
      <c r="H73" s="1">
        <v>109</v>
      </c>
      <c r="I73" s="2">
        <v>110308</v>
      </c>
      <c r="J73" t="s">
        <v>16</v>
      </c>
      <c r="K73" t="s">
        <v>17</v>
      </c>
    </row>
    <row r="74" spans="1:11" x14ac:dyDescent="0.25">
      <c r="A74" t="s">
        <v>83</v>
      </c>
      <c r="B74" t="s">
        <v>12</v>
      </c>
      <c r="C74" t="s">
        <v>13</v>
      </c>
      <c r="D74" t="s">
        <v>20</v>
      </c>
      <c r="E74" t="s">
        <v>21</v>
      </c>
      <c r="F74" t="s">
        <v>14</v>
      </c>
      <c r="G74">
        <v>1838</v>
      </c>
      <c r="H74" s="1">
        <v>129</v>
      </c>
      <c r="I74" s="2">
        <v>237102</v>
      </c>
      <c r="J74" t="s">
        <v>16</v>
      </c>
      <c r="K74" t="s">
        <v>17</v>
      </c>
    </row>
    <row r="75" spans="1:11" x14ac:dyDescent="0.25">
      <c r="A75" t="s">
        <v>42</v>
      </c>
      <c r="B75" t="s">
        <v>12</v>
      </c>
      <c r="C75" t="s">
        <v>13</v>
      </c>
      <c r="D75" t="s">
        <v>20</v>
      </c>
      <c r="E75" t="s">
        <v>15</v>
      </c>
      <c r="F75" t="s">
        <v>14</v>
      </c>
      <c r="G75">
        <v>2170</v>
      </c>
      <c r="H75" s="1">
        <v>49.9</v>
      </c>
      <c r="I75" s="2">
        <v>108283</v>
      </c>
      <c r="J75" t="s">
        <v>16</v>
      </c>
      <c r="K75" t="s">
        <v>17</v>
      </c>
    </row>
    <row r="76" spans="1:11" x14ac:dyDescent="0.25">
      <c r="A76" t="s">
        <v>73</v>
      </c>
      <c r="B76" t="s">
        <v>12</v>
      </c>
      <c r="C76" t="s">
        <v>13</v>
      </c>
      <c r="D76" t="s">
        <v>14</v>
      </c>
      <c r="E76" t="s">
        <v>26</v>
      </c>
      <c r="F76" t="s">
        <v>20</v>
      </c>
      <c r="G76">
        <v>1061</v>
      </c>
      <c r="H76" s="1">
        <v>139</v>
      </c>
      <c r="I76" s="2">
        <v>147479</v>
      </c>
      <c r="J76" t="s">
        <v>16</v>
      </c>
      <c r="K76" t="s">
        <v>17</v>
      </c>
    </row>
    <row r="77" spans="1:11" x14ac:dyDescent="0.25">
      <c r="A77" t="s">
        <v>84</v>
      </c>
      <c r="B77" t="s">
        <v>12</v>
      </c>
      <c r="C77" t="s">
        <v>13</v>
      </c>
      <c r="D77" t="s">
        <v>20</v>
      </c>
      <c r="E77" t="s">
        <v>26</v>
      </c>
      <c r="F77" t="s">
        <v>14</v>
      </c>
      <c r="G77">
        <v>786</v>
      </c>
      <c r="H77" s="1">
        <v>139</v>
      </c>
      <c r="I77" s="2">
        <v>109254</v>
      </c>
      <c r="J77" t="s">
        <v>16</v>
      </c>
      <c r="K77" t="s">
        <v>17</v>
      </c>
    </row>
    <row r="78" spans="1:11" x14ac:dyDescent="0.25">
      <c r="A78" t="s">
        <v>85</v>
      </c>
      <c r="B78" t="s">
        <v>12</v>
      </c>
      <c r="C78" t="s">
        <v>13</v>
      </c>
      <c r="D78" t="s">
        <v>14</v>
      </c>
      <c r="E78" t="s">
        <v>26</v>
      </c>
      <c r="F78" t="s">
        <v>14</v>
      </c>
      <c r="G78">
        <v>1094</v>
      </c>
      <c r="H78" s="1">
        <v>139</v>
      </c>
      <c r="I78" s="2">
        <v>152066</v>
      </c>
      <c r="J78" t="s">
        <v>16</v>
      </c>
      <c r="K78" t="s">
        <v>17</v>
      </c>
    </row>
    <row r="79" spans="1:11" x14ac:dyDescent="0.25">
      <c r="A79" t="s">
        <v>49</v>
      </c>
      <c r="B79" t="s">
        <v>12</v>
      </c>
      <c r="C79" t="s">
        <v>13</v>
      </c>
      <c r="D79" t="s">
        <v>20</v>
      </c>
      <c r="E79" t="s">
        <v>21</v>
      </c>
      <c r="F79" t="s">
        <v>20</v>
      </c>
      <c r="G79">
        <v>2220</v>
      </c>
      <c r="H79" s="1">
        <v>89.9</v>
      </c>
      <c r="I79" s="2">
        <v>199578</v>
      </c>
      <c r="J79" t="s">
        <v>16</v>
      </c>
      <c r="K79" t="s">
        <v>17</v>
      </c>
    </row>
    <row r="80" spans="1:11" x14ac:dyDescent="0.25">
      <c r="A80" t="s">
        <v>86</v>
      </c>
      <c r="B80" t="s">
        <v>12</v>
      </c>
      <c r="C80" t="s">
        <v>13</v>
      </c>
      <c r="D80" t="s">
        <v>14</v>
      </c>
      <c r="E80" t="s">
        <v>26</v>
      </c>
      <c r="F80" t="s">
        <v>20</v>
      </c>
      <c r="G80">
        <v>2048</v>
      </c>
      <c r="H80" s="1">
        <v>89.9</v>
      </c>
      <c r="I80" s="2">
        <v>184115.20000000001</v>
      </c>
      <c r="J80" t="s">
        <v>16</v>
      </c>
      <c r="K80" t="s">
        <v>17</v>
      </c>
    </row>
    <row r="81" spans="1:11" x14ac:dyDescent="0.25">
      <c r="A81" t="s">
        <v>84</v>
      </c>
      <c r="B81" t="s">
        <v>12</v>
      </c>
      <c r="C81" t="s">
        <v>13</v>
      </c>
      <c r="D81" t="s">
        <v>14</v>
      </c>
      <c r="E81" t="s">
        <v>15</v>
      </c>
      <c r="F81" t="s">
        <v>14</v>
      </c>
      <c r="G81">
        <v>2578</v>
      </c>
      <c r="H81" s="1">
        <v>89.9</v>
      </c>
      <c r="I81" s="2">
        <v>231762.2</v>
      </c>
      <c r="J81" t="s">
        <v>16</v>
      </c>
      <c r="K81" t="s">
        <v>17</v>
      </c>
    </row>
    <row r="82" spans="1:11" x14ac:dyDescent="0.25">
      <c r="A82" t="s">
        <v>87</v>
      </c>
      <c r="B82" t="s">
        <v>12</v>
      </c>
      <c r="C82" t="s">
        <v>13</v>
      </c>
      <c r="D82" t="s">
        <v>20</v>
      </c>
      <c r="E82" t="s">
        <v>21</v>
      </c>
      <c r="F82" t="s">
        <v>14</v>
      </c>
      <c r="G82">
        <v>2040</v>
      </c>
      <c r="H82" s="1">
        <v>89.9</v>
      </c>
      <c r="I82" s="2">
        <v>183396</v>
      </c>
      <c r="J82" t="s">
        <v>16</v>
      </c>
      <c r="K82" t="s">
        <v>17</v>
      </c>
    </row>
    <row r="83" spans="1:11" x14ac:dyDescent="0.25">
      <c r="A83" t="s">
        <v>88</v>
      </c>
      <c r="B83" t="s">
        <v>12</v>
      </c>
      <c r="C83" t="s">
        <v>13</v>
      </c>
      <c r="D83" t="s">
        <v>14</v>
      </c>
      <c r="E83" t="s">
        <v>15</v>
      </c>
      <c r="F83" t="s">
        <v>14</v>
      </c>
      <c r="G83">
        <v>2791</v>
      </c>
      <c r="H83" s="1">
        <v>89.9</v>
      </c>
      <c r="I83" s="2">
        <v>250910.9</v>
      </c>
      <c r="J83" t="s">
        <v>16</v>
      </c>
      <c r="K83" t="s">
        <v>17</v>
      </c>
    </row>
    <row r="84" spans="1:11" x14ac:dyDescent="0.25">
      <c r="A84" t="s">
        <v>89</v>
      </c>
      <c r="B84" t="s">
        <v>12</v>
      </c>
      <c r="C84" t="s">
        <v>13</v>
      </c>
      <c r="D84" t="s">
        <v>20</v>
      </c>
      <c r="E84" t="s">
        <v>15</v>
      </c>
      <c r="F84" t="s">
        <v>20</v>
      </c>
      <c r="G84">
        <v>1249</v>
      </c>
      <c r="H84" s="1">
        <v>89.9</v>
      </c>
      <c r="I84" s="2">
        <v>112285.1</v>
      </c>
      <c r="J84" t="s">
        <v>16</v>
      </c>
      <c r="K84" t="s">
        <v>17</v>
      </c>
    </row>
    <row r="85" spans="1:11" x14ac:dyDescent="0.25">
      <c r="A85" t="s">
        <v>90</v>
      </c>
      <c r="B85" t="s">
        <v>12</v>
      </c>
      <c r="C85" t="s">
        <v>13</v>
      </c>
      <c r="D85" t="s">
        <v>20</v>
      </c>
      <c r="E85" t="s">
        <v>26</v>
      </c>
      <c r="F85" t="s">
        <v>20</v>
      </c>
      <c r="G85">
        <v>2273</v>
      </c>
      <c r="H85" s="1">
        <v>89.9</v>
      </c>
      <c r="I85" s="2">
        <v>204342.7</v>
      </c>
      <c r="J85" t="s">
        <v>16</v>
      </c>
      <c r="K85" t="s">
        <v>17</v>
      </c>
    </row>
    <row r="86" spans="1:11" x14ac:dyDescent="0.25">
      <c r="A86" t="s">
        <v>91</v>
      </c>
      <c r="B86" t="s">
        <v>12</v>
      </c>
      <c r="C86" t="s">
        <v>13</v>
      </c>
      <c r="D86" t="s">
        <v>20</v>
      </c>
      <c r="E86" t="s">
        <v>26</v>
      </c>
      <c r="F86" t="s">
        <v>14</v>
      </c>
      <c r="G86">
        <v>1773</v>
      </c>
      <c r="H86" s="1">
        <v>89.9</v>
      </c>
      <c r="I86" s="2">
        <v>159392.70000000001</v>
      </c>
      <c r="J86" t="s">
        <v>16</v>
      </c>
      <c r="K86" t="s">
        <v>17</v>
      </c>
    </row>
    <row r="87" spans="1:11" x14ac:dyDescent="0.25">
      <c r="A87" t="s">
        <v>92</v>
      </c>
      <c r="B87" t="s">
        <v>12</v>
      </c>
      <c r="C87" t="s">
        <v>13</v>
      </c>
      <c r="D87" t="s">
        <v>20</v>
      </c>
      <c r="E87" t="s">
        <v>15</v>
      </c>
      <c r="F87" t="s">
        <v>20</v>
      </c>
      <c r="G87">
        <v>1733</v>
      </c>
      <c r="H87" s="1">
        <v>69.900000000000006</v>
      </c>
      <c r="I87" s="2">
        <v>121136.7</v>
      </c>
      <c r="J87" t="s">
        <v>16</v>
      </c>
      <c r="K87" t="s">
        <v>17</v>
      </c>
    </row>
    <row r="88" spans="1:11" x14ac:dyDescent="0.25">
      <c r="A88" t="s">
        <v>93</v>
      </c>
      <c r="B88" t="s">
        <v>12</v>
      </c>
      <c r="C88" t="s">
        <v>13</v>
      </c>
      <c r="D88" t="s">
        <v>20</v>
      </c>
      <c r="E88" t="s">
        <v>21</v>
      </c>
      <c r="F88" t="s">
        <v>14</v>
      </c>
      <c r="G88">
        <v>2060</v>
      </c>
      <c r="H88" s="1">
        <v>89.9</v>
      </c>
      <c r="I88" s="2">
        <v>185194</v>
      </c>
      <c r="J88" t="s">
        <v>16</v>
      </c>
      <c r="K88" t="s">
        <v>17</v>
      </c>
    </row>
    <row r="89" spans="1:11" x14ac:dyDescent="0.25">
      <c r="A89" t="s">
        <v>94</v>
      </c>
      <c r="B89" t="s">
        <v>12</v>
      </c>
      <c r="C89" t="s">
        <v>13</v>
      </c>
      <c r="D89" t="s">
        <v>14</v>
      </c>
      <c r="E89" t="s">
        <v>15</v>
      </c>
      <c r="F89" t="s">
        <v>20</v>
      </c>
      <c r="G89">
        <v>2849</v>
      </c>
      <c r="H89" s="1">
        <v>169</v>
      </c>
      <c r="I89" s="2">
        <v>481481</v>
      </c>
      <c r="J89" t="s">
        <v>16</v>
      </c>
      <c r="K89" t="s">
        <v>17</v>
      </c>
    </row>
    <row r="90" spans="1:11" x14ac:dyDescent="0.25">
      <c r="A90" t="s">
        <v>95</v>
      </c>
      <c r="B90" t="s">
        <v>12</v>
      </c>
      <c r="C90" t="s">
        <v>13</v>
      </c>
      <c r="D90" t="s">
        <v>20</v>
      </c>
      <c r="E90" t="s">
        <v>15</v>
      </c>
      <c r="F90" t="s">
        <v>14</v>
      </c>
      <c r="G90">
        <v>2277</v>
      </c>
      <c r="H90" s="1">
        <v>169</v>
      </c>
      <c r="I90" s="2">
        <v>384813</v>
      </c>
      <c r="J90" t="s">
        <v>16</v>
      </c>
      <c r="K90" t="s">
        <v>17</v>
      </c>
    </row>
    <row r="91" spans="1:11" x14ac:dyDescent="0.25">
      <c r="A91" t="s">
        <v>96</v>
      </c>
      <c r="B91" t="s">
        <v>12</v>
      </c>
      <c r="C91" t="s">
        <v>13</v>
      </c>
      <c r="D91" t="s">
        <v>14</v>
      </c>
      <c r="E91" t="s">
        <v>15</v>
      </c>
      <c r="F91" t="s">
        <v>20</v>
      </c>
      <c r="G91">
        <v>1135</v>
      </c>
      <c r="H91" s="1">
        <v>69.900000000000006</v>
      </c>
      <c r="I91" s="2">
        <v>79336.5</v>
      </c>
      <c r="J91" t="s">
        <v>16</v>
      </c>
      <c r="K91" t="s">
        <v>17</v>
      </c>
    </row>
    <row r="92" spans="1:11" x14ac:dyDescent="0.25">
      <c r="A92" t="s">
        <v>97</v>
      </c>
      <c r="B92" t="s">
        <v>12</v>
      </c>
      <c r="C92" t="s">
        <v>13</v>
      </c>
      <c r="D92" t="s">
        <v>14</v>
      </c>
      <c r="E92" t="s">
        <v>15</v>
      </c>
      <c r="F92" t="s">
        <v>14</v>
      </c>
      <c r="G92">
        <v>1770</v>
      </c>
      <c r="H92" s="1">
        <v>19.989999999999998</v>
      </c>
      <c r="I92" s="2">
        <v>35382.300000000003</v>
      </c>
      <c r="J92" t="s">
        <v>16</v>
      </c>
      <c r="K92" t="s">
        <v>17</v>
      </c>
    </row>
    <row r="93" spans="1:11" x14ac:dyDescent="0.25">
      <c r="A93" t="s">
        <v>98</v>
      </c>
      <c r="B93" t="s">
        <v>12</v>
      </c>
      <c r="C93" t="s">
        <v>13</v>
      </c>
      <c r="D93" t="s">
        <v>14</v>
      </c>
      <c r="E93" t="s">
        <v>21</v>
      </c>
      <c r="F93" t="s">
        <v>14</v>
      </c>
      <c r="G93">
        <v>730</v>
      </c>
      <c r="H93" s="1">
        <v>139</v>
      </c>
      <c r="I93" s="2">
        <v>101470</v>
      </c>
      <c r="J93" t="s">
        <v>16</v>
      </c>
      <c r="K93" t="s">
        <v>17</v>
      </c>
    </row>
    <row r="94" spans="1:11" x14ac:dyDescent="0.25">
      <c r="A94" t="s">
        <v>51</v>
      </c>
      <c r="B94" t="s">
        <v>12</v>
      </c>
      <c r="C94" t="s">
        <v>13</v>
      </c>
      <c r="D94" t="s">
        <v>14</v>
      </c>
      <c r="E94" t="s">
        <v>15</v>
      </c>
      <c r="F94" t="s">
        <v>14</v>
      </c>
      <c r="G94">
        <v>1525</v>
      </c>
      <c r="H94" s="1">
        <v>109</v>
      </c>
      <c r="I94" s="2">
        <v>166225</v>
      </c>
      <c r="J94" t="s">
        <v>16</v>
      </c>
      <c r="K94" t="s">
        <v>17</v>
      </c>
    </row>
    <row r="95" spans="1:11" x14ac:dyDescent="0.25">
      <c r="A95" t="s">
        <v>97</v>
      </c>
      <c r="B95" t="s">
        <v>12</v>
      </c>
      <c r="C95" t="s">
        <v>13</v>
      </c>
      <c r="D95" t="s">
        <v>14</v>
      </c>
      <c r="E95" t="s">
        <v>26</v>
      </c>
      <c r="F95" t="s">
        <v>20</v>
      </c>
      <c r="G95">
        <v>647</v>
      </c>
      <c r="H95" s="1">
        <v>109</v>
      </c>
      <c r="I95" s="2">
        <v>70523</v>
      </c>
      <c r="J95" t="s">
        <v>16</v>
      </c>
      <c r="K95" t="s">
        <v>17</v>
      </c>
    </row>
    <row r="96" spans="1:11" x14ac:dyDescent="0.25">
      <c r="A96" t="s">
        <v>97</v>
      </c>
      <c r="B96" t="s">
        <v>12</v>
      </c>
      <c r="C96" t="s">
        <v>13</v>
      </c>
      <c r="D96" t="s">
        <v>20</v>
      </c>
      <c r="E96" t="s">
        <v>21</v>
      </c>
      <c r="F96" t="s">
        <v>20</v>
      </c>
      <c r="G96">
        <v>1017</v>
      </c>
      <c r="H96" s="1">
        <v>109</v>
      </c>
      <c r="I96" s="2">
        <v>110853</v>
      </c>
      <c r="J96" t="s">
        <v>16</v>
      </c>
      <c r="K96" t="s">
        <v>17</v>
      </c>
    </row>
    <row r="97" spans="1:11" x14ac:dyDescent="0.25">
      <c r="A97" t="s">
        <v>99</v>
      </c>
      <c r="B97" t="s">
        <v>12</v>
      </c>
      <c r="C97" t="s">
        <v>13</v>
      </c>
      <c r="D97" t="s">
        <v>14</v>
      </c>
      <c r="E97" t="s">
        <v>26</v>
      </c>
      <c r="F97" t="s">
        <v>14</v>
      </c>
      <c r="G97">
        <v>1622</v>
      </c>
      <c r="H97" s="1">
        <v>109</v>
      </c>
      <c r="I97" s="2">
        <v>176798</v>
      </c>
      <c r="J97" t="s">
        <v>16</v>
      </c>
      <c r="K97" t="s">
        <v>17</v>
      </c>
    </row>
    <row r="98" spans="1:11" x14ac:dyDescent="0.25">
      <c r="A98" t="s">
        <v>100</v>
      </c>
      <c r="B98" t="s">
        <v>12</v>
      </c>
      <c r="C98" t="s">
        <v>13</v>
      </c>
      <c r="D98" t="s">
        <v>20</v>
      </c>
      <c r="E98" t="s">
        <v>26</v>
      </c>
      <c r="F98" t="s">
        <v>20</v>
      </c>
      <c r="G98">
        <v>2553</v>
      </c>
      <c r="H98" s="1">
        <v>99.9</v>
      </c>
      <c r="I98" s="2">
        <v>255044.7</v>
      </c>
      <c r="J98" t="s">
        <v>16</v>
      </c>
      <c r="K98" t="s">
        <v>17</v>
      </c>
    </row>
    <row r="99" spans="1:11" x14ac:dyDescent="0.25">
      <c r="A99" t="s">
        <v>29</v>
      </c>
      <c r="B99" t="s">
        <v>12</v>
      </c>
      <c r="C99" t="s">
        <v>13</v>
      </c>
      <c r="D99" t="s">
        <v>14</v>
      </c>
      <c r="E99" t="s">
        <v>21</v>
      </c>
      <c r="F99" t="s">
        <v>14</v>
      </c>
      <c r="G99">
        <v>2347</v>
      </c>
      <c r="H99" s="1">
        <v>89.9</v>
      </c>
      <c r="I99" s="2">
        <v>210995.3</v>
      </c>
      <c r="J99" t="s">
        <v>16</v>
      </c>
      <c r="K99" t="s">
        <v>17</v>
      </c>
    </row>
    <row r="100" spans="1:11" x14ac:dyDescent="0.25">
      <c r="A100" t="s">
        <v>86</v>
      </c>
      <c r="B100" t="s">
        <v>12</v>
      </c>
      <c r="C100" t="s">
        <v>13</v>
      </c>
      <c r="D100" t="s">
        <v>14</v>
      </c>
      <c r="E100" t="s">
        <v>15</v>
      </c>
      <c r="F100" t="s">
        <v>20</v>
      </c>
      <c r="G100">
        <v>2535</v>
      </c>
      <c r="H100" s="1">
        <v>69.900000000000006</v>
      </c>
      <c r="I100" s="2">
        <v>177196.5</v>
      </c>
      <c r="J100" t="s">
        <v>16</v>
      </c>
      <c r="K100" t="s">
        <v>17</v>
      </c>
    </row>
    <row r="101" spans="1:11" x14ac:dyDescent="0.25">
      <c r="A101" t="s">
        <v>67</v>
      </c>
      <c r="B101" t="s">
        <v>12</v>
      </c>
      <c r="C101" t="s">
        <v>13</v>
      </c>
      <c r="D101" t="s">
        <v>14</v>
      </c>
      <c r="E101" t="s">
        <v>15</v>
      </c>
      <c r="F101" t="s">
        <v>20</v>
      </c>
      <c r="G101">
        <v>2839</v>
      </c>
      <c r="H101" s="1">
        <v>139</v>
      </c>
      <c r="I101" s="2">
        <v>394621</v>
      </c>
      <c r="J101" t="s">
        <v>16</v>
      </c>
      <c r="K101" t="s">
        <v>17</v>
      </c>
    </row>
    <row r="102" spans="1:11" x14ac:dyDescent="0.25">
      <c r="A102" t="s">
        <v>19</v>
      </c>
      <c r="B102" t="s">
        <v>12</v>
      </c>
      <c r="C102" t="s">
        <v>13</v>
      </c>
      <c r="D102" t="s">
        <v>20</v>
      </c>
      <c r="E102" t="s">
        <v>26</v>
      </c>
      <c r="F102" t="s">
        <v>20</v>
      </c>
      <c r="G102">
        <v>2801</v>
      </c>
      <c r="H102" s="1">
        <v>139</v>
      </c>
      <c r="I102" s="2">
        <v>389339</v>
      </c>
      <c r="J102" t="s">
        <v>16</v>
      </c>
      <c r="K102" t="s">
        <v>17</v>
      </c>
    </row>
    <row r="103" spans="1:11" x14ac:dyDescent="0.25">
      <c r="A103" t="s">
        <v>101</v>
      </c>
      <c r="B103" t="s">
        <v>12</v>
      </c>
      <c r="C103" t="s">
        <v>13</v>
      </c>
      <c r="D103" t="s">
        <v>20</v>
      </c>
      <c r="E103" t="s">
        <v>26</v>
      </c>
      <c r="F103" t="s">
        <v>20</v>
      </c>
      <c r="G103">
        <v>628</v>
      </c>
      <c r="H103" s="1">
        <v>109</v>
      </c>
      <c r="I103" s="2">
        <v>68452</v>
      </c>
      <c r="J103" t="s">
        <v>16</v>
      </c>
      <c r="K103" t="s">
        <v>17</v>
      </c>
    </row>
    <row r="104" spans="1:11" x14ac:dyDescent="0.25">
      <c r="A104" t="s">
        <v>102</v>
      </c>
      <c r="B104" t="s">
        <v>12</v>
      </c>
      <c r="C104" t="s">
        <v>13</v>
      </c>
      <c r="D104" t="s">
        <v>20</v>
      </c>
      <c r="E104" t="s">
        <v>21</v>
      </c>
      <c r="F104" t="s">
        <v>14</v>
      </c>
      <c r="G104">
        <v>1448</v>
      </c>
      <c r="H104" s="1">
        <v>129</v>
      </c>
      <c r="I104" s="2">
        <v>186792</v>
      </c>
      <c r="J104" t="s">
        <v>16</v>
      </c>
      <c r="K104" t="s">
        <v>17</v>
      </c>
    </row>
    <row r="105" spans="1:11" x14ac:dyDescent="0.25">
      <c r="A105" t="s">
        <v>103</v>
      </c>
      <c r="B105" t="s">
        <v>12</v>
      </c>
      <c r="C105" t="s">
        <v>13</v>
      </c>
      <c r="D105" t="s">
        <v>20</v>
      </c>
      <c r="E105" t="s">
        <v>15</v>
      </c>
      <c r="F105" t="s">
        <v>14</v>
      </c>
      <c r="G105">
        <v>1401</v>
      </c>
      <c r="H105" s="1">
        <v>169</v>
      </c>
      <c r="I105" s="2">
        <v>236769</v>
      </c>
      <c r="J105" t="s">
        <v>16</v>
      </c>
      <c r="K105" t="s">
        <v>17</v>
      </c>
    </row>
    <row r="106" spans="1:11" x14ac:dyDescent="0.25">
      <c r="A106" t="s">
        <v>104</v>
      </c>
      <c r="B106" t="s">
        <v>12</v>
      </c>
      <c r="C106" t="s">
        <v>13</v>
      </c>
      <c r="D106" t="s">
        <v>20</v>
      </c>
      <c r="E106" t="s">
        <v>26</v>
      </c>
      <c r="F106" t="s">
        <v>20</v>
      </c>
      <c r="G106">
        <v>2185</v>
      </c>
      <c r="H106" s="1">
        <v>159</v>
      </c>
      <c r="I106" s="2">
        <v>347415</v>
      </c>
      <c r="J106" t="s">
        <v>16</v>
      </c>
      <c r="K106" t="s">
        <v>17</v>
      </c>
    </row>
    <row r="107" spans="1:11" x14ac:dyDescent="0.25">
      <c r="A107" t="s">
        <v>105</v>
      </c>
      <c r="B107" t="s">
        <v>12</v>
      </c>
      <c r="C107" t="s">
        <v>13</v>
      </c>
      <c r="D107" t="s">
        <v>20</v>
      </c>
      <c r="E107" t="s">
        <v>26</v>
      </c>
      <c r="F107" t="s">
        <v>14</v>
      </c>
      <c r="G107">
        <v>2135</v>
      </c>
      <c r="H107" s="1">
        <v>12.99</v>
      </c>
      <c r="I107" s="2">
        <v>27733.65</v>
      </c>
      <c r="J107" t="s">
        <v>16</v>
      </c>
      <c r="K107" t="s">
        <v>17</v>
      </c>
    </row>
    <row r="108" spans="1:11" x14ac:dyDescent="0.25">
      <c r="A108" t="s">
        <v>106</v>
      </c>
      <c r="B108" t="s">
        <v>12</v>
      </c>
      <c r="C108" t="s">
        <v>13</v>
      </c>
      <c r="D108" t="s">
        <v>20</v>
      </c>
      <c r="E108" t="s">
        <v>26</v>
      </c>
      <c r="F108" t="s">
        <v>14</v>
      </c>
      <c r="G108">
        <v>1269</v>
      </c>
      <c r="H108" s="1">
        <v>89.9</v>
      </c>
      <c r="I108" s="2">
        <v>114083.1</v>
      </c>
      <c r="J108" t="s">
        <v>16</v>
      </c>
      <c r="K108" t="s">
        <v>17</v>
      </c>
    </row>
    <row r="109" spans="1:11" x14ac:dyDescent="0.25">
      <c r="A109" t="s">
        <v>107</v>
      </c>
      <c r="B109" t="s">
        <v>12</v>
      </c>
      <c r="C109" t="s">
        <v>13</v>
      </c>
      <c r="D109" t="s">
        <v>14</v>
      </c>
      <c r="E109" t="s">
        <v>26</v>
      </c>
      <c r="F109" t="s">
        <v>14</v>
      </c>
      <c r="G109">
        <v>2805</v>
      </c>
      <c r="H109" s="1">
        <v>89.9</v>
      </c>
      <c r="I109" s="2">
        <v>252169.5</v>
      </c>
      <c r="J109" t="s">
        <v>16</v>
      </c>
      <c r="K109" t="s">
        <v>17</v>
      </c>
    </row>
    <row r="110" spans="1:11" x14ac:dyDescent="0.25">
      <c r="A110" t="s">
        <v>108</v>
      </c>
      <c r="B110" t="s">
        <v>12</v>
      </c>
      <c r="C110" t="s">
        <v>13</v>
      </c>
      <c r="D110" t="s">
        <v>20</v>
      </c>
      <c r="E110" t="s">
        <v>15</v>
      </c>
      <c r="F110" t="s">
        <v>14</v>
      </c>
      <c r="G110">
        <v>1796</v>
      </c>
      <c r="H110" s="1">
        <v>79.900000000000006</v>
      </c>
      <c r="I110" s="2">
        <v>143500.4</v>
      </c>
      <c r="J110" t="s">
        <v>16</v>
      </c>
      <c r="K110" t="s">
        <v>17</v>
      </c>
    </row>
    <row r="111" spans="1:11" x14ac:dyDescent="0.25">
      <c r="A111" t="s">
        <v>109</v>
      </c>
      <c r="B111" t="s">
        <v>12</v>
      </c>
      <c r="C111" t="s">
        <v>13</v>
      </c>
      <c r="D111" t="s">
        <v>20</v>
      </c>
      <c r="E111" t="s">
        <v>21</v>
      </c>
      <c r="F111" t="s">
        <v>14</v>
      </c>
      <c r="G111">
        <v>2133</v>
      </c>
      <c r="H111" s="1">
        <v>69.900000000000006</v>
      </c>
      <c r="I111" s="2">
        <v>149096.70000000001</v>
      </c>
      <c r="J111" t="s">
        <v>16</v>
      </c>
      <c r="K111" t="s">
        <v>17</v>
      </c>
    </row>
    <row r="112" spans="1:11" x14ac:dyDescent="0.25">
      <c r="A112" t="s">
        <v>91</v>
      </c>
      <c r="B112" t="s">
        <v>12</v>
      </c>
      <c r="C112" t="s">
        <v>13</v>
      </c>
      <c r="D112" t="s">
        <v>14</v>
      </c>
      <c r="E112" t="s">
        <v>15</v>
      </c>
      <c r="F112" t="s">
        <v>14</v>
      </c>
      <c r="G112">
        <v>1778</v>
      </c>
      <c r="H112" s="1">
        <v>89.9</v>
      </c>
      <c r="I112" s="2">
        <v>159842.20000000001</v>
      </c>
      <c r="J112" t="s">
        <v>16</v>
      </c>
      <c r="K112" t="s">
        <v>17</v>
      </c>
    </row>
    <row r="113" spans="1:11" x14ac:dyDescent="0.25">
      <c r="A113" t="s">
        <v>110</v>
      </c>
      <c r="B113" t="s">
        <v>12</v>
      </c>
      <c r="C113" t="s">
        <v>13</v>
      </c>
      <c r="D113" t="s">
        <v>20</v>
      </c>
      <c r="E113" t="s">
        <v>21</v>
      </c>
      <c r="F113" t="s">
        <v>14</v>
      </c>
      <c r="G113">
        <v>2474</v>
      </c>
      <c r="H113" s="1">
        <v>89.9</v>
      </c>
      <c r="I113" s="2">
        <v>222412.6</v>
      </c>
      <c r="J113" t="s">
        <v>16</v>
      </c>
      <c r="K113" t="s">
        <v>17</v>
      </c>
    </row>
    <row r="114" spans="1:11" x14ac:dyDescent="0.25">
      <c r="A114" t="s">
        <v>109</v>
      </c>
      <c r="B114" t="s">
        <v>12</v>
      </c>
      <c r="C114" t="s">
        <v>13</v>
      </c>
      <c r="D114" t="s">
        <v>14</v>
      </c>
      <c r="E114" t="s">
        <v>15</v>
      </c>
      <c r="F114" t="s">
        <v>20</v>
      </c>
      <c r="G114">
        <v>2032</v>
      </c>
      <c r="H114" s="1">
        <v>59.9</v>
      </c>
      <c r="I114" s="2">
        <v>121716.8</v>
      </c>
      <c r="J114" t="s">
        <v>16</v>
      </c>
      <c r="K114" t="s">
        <v>17</v>
      </c>
    </row>
    <row r="115" spans="1:11" x14ac:dyDescent="0.25">
      <c r="A115" t="s">
        <v>111</v>
      </c>
      <c r="B115" t="s">
        <v>12</v>
      </c>
      <c r="C115" t="s">
        <v>13</v>
      </c>
      <c r="D115" t="s">
        <v>14</v>
      </c>
      <c r="E115" t="s">
        <v>15</v>
      </c>
      <c r="F115" t="s">
        <v>20</v>
      </c>
      <c r="G115">
        <v>1659</v>
      </c>
      <c r="H115" s="1">
        <v>89.9</v>
      </c>
      <c r="I115" s="2">
        <v>149144.1</v>
      </c>
      <c r="J115" t="s">
        <v>16</v>
      </c>
      <c r="K115" t="s">
        <v>17</v>
      </c>
    </row>
    <row r="116" spans="1:11" x14ac:dyDescent="0.25">
      <c r="A116" t="s">
        <v>112</v>
      </c>
      <c r="B116" t="s">
        <v>12</v>
      </c>
      <c r="C116" t="s">
        <v>13</v>
      </c>
      <c r="D116" t="s">
        <v>20</v>
      </c>
      <c r="E116" t="s">
        <v>21</v>
      </c>
      <c r="F116" t="s">
        <v>20</v>
      </c>
      <c r="G116">
        <v>2443</v>
      </c>
      <c r="H116" s="1">
        <v>69.900000000000006</v>
      </c>
      <c r="I116" s="2">
        <v>170765.7</v>
      </c>
      <c r="J116" t="s">
        <v>16</v>
      </c>
      <c r="K116" t="s">
        <v>17</v>
      </c>
    </row>
    <row r="117" spans="1:11" x14ac:dyDescent="0.25">
      <c r="A117" t="s">
        <v>109</v>
      </c>
      <c r="B117" t="s">
        <v>12</v>
      </c>
      <c r="C117" t="s">
        <v>13</v>
      </c>
      <c r="D117" t="s">
        <v>14</v>
      </c>
      <c r="E117" t="s">
        <v>15</v>
      </c>
      <c r="F117" t="s">
        <v>20</v>
      </c>
      <c r="G117">
        <v>1137</v>
      </c>
      <c r="H117" s="1">
        <v>69.900000000000006</v>
      </c>
      <c r="I117" s="2">
        <v>79476.3</v>
      </c>
      <c r="J117" t="s">
        <v>16</v>
      </c>
      <c r="K117" t="s">
        <v>17</v>
      </c>
    </row>
    <row r="118" spans="1:11" x14ac:dyDescent="0.25">
      <c r="A118" t="s">
        <v>113</v>
      </c>
      <c r="B118" t="s">
        <v>12</v>
      </c>
      <c r="C118" t="s">
        <v>13</v>
      </c>
      <c r="D118" t="s">
        <v>14</v>
      </c>
      <c r="E118" t="s">
        <v>21</v>
      </c>
      <c r="F118" t="s">
        <v>20</v>
      </c>
      <c r="G118">
        <v>1847</v>
      </c>
      <c r="H118" s="1">
        <v>69.900000000000006</v>
      </c>
      <c r="I118" s="2">
        <v>129105.3</v>
      </c>
      <c r="J118" t="s">
        <v>16</v>
      </c>
      <c r="K118" t="s">
        <v>17</v>
      </c>
    </row>
    <row r="119" spans="1:11" x14ac:dyDescent="0.25">
      <c r="A119" t="s">
        <v>91</v>
      </c>
      <c r="B119" t="s">
        <v>12</v>
      </c>
      <c r="C119" t="s">
        <v>13</v>
      </c>
      <c r="D119" t="s">
        <v>20</v>
      </c>
      <c r="E119" t="s">
        <v>21</v>
      </c>
      <c r="F119" t="s">
        <v>20</v>
      </c>
      <c r="G119">
        <v>2404</v>
      </c>
      <c r="H119" s="1">
        <v>109</v>
      </c>
      <c r="I119" s="2">
        <v>262036</v>
      </c>
      <c r="J119" t="s">
        <v>16</v>
      </c>
      <c r="K119" t="s">
        <v>17</v>
      </c>
    </row>
    <row r="120" spans="1:11" x14ac:dyDescent="0.25">
      <c r="A120" t="s">
        <v>114</v>
      </c>
      <c r="B120" t="s">
        <v>12</v>
      </c>
      <c r="C120" t="s">
        <v>13</v>
      </c>
      <c r="D120" t="s">
        <v>14</v>
      </c>
      <c r="E120" t="s">
        <v>21</v>
      </c>
      <c r="F120" t="s">
        <v>20</v>
      </c>
      <c r="G120">
        <v>1466</v>
      </c>
      <c r="H120" s="1">
        <v>59.9</v>
      </c>
      <c r="I120" s="2">
        <v>87813.4</v>
      </c>
      <c r="J120" t="s">
        <v>16</v>
      </c>
      <c r="K120" t="s">
        <v>17</v>
      </c>
    </row>
    <row r="121" spans="1:11" x14ac:dyDescent="0.25">
      <c r="A121" t="s">
        <v>109</v>
      </c>
      <c r="B121" t="s">
        <v>12</v>
      </c>
      <c r="C121" t="s">
        <v>13</v>
      </c>
      <c r="D121" t="s">
        <v>14</v>
      </c>
      <c r="E121" t="s">
        <v>26</v>
      </c>
      <c r="F121" t="s">
        <v>14</v>
      </c>
      <c r="G121">
        <v>2328</v>
      </c>
      <c r="H121" s="1">
        <v>59.9</v>
      </c>
      <c r="I121" s="2">
        <v>139447.20000000001</v>
      </c>
      <c r="J121" t="s">
        <v>16</v>
      </c>
      <c r="K121" t="s">
        <v>17</v>
      </c>
    </row>
    <row r="122" spans="1:11" x14ac:dyDescent="0.25">
      <c r="A122" t="s">
        <v>91</v>
      </c>
      <c r="B122" t="s">
        <v>12</v>
      </c>
      <c r="C122" t="s">
        <v>13</v>
      </c>
      <c r="D122" t="s">
        <v>14</v>
      </c>
      <c r="E122" t="s">
        <v>21</v>
      </c>
      <c r="F122" t="s">
        <v>20</v>
      </c>
      <c r="G122">
        <v>1431</v>
      </c>
      <c r="H122" s="1">
        <v>59.9</v>
      </c>
      <c r="I122" s="2">
        <v>85716.9</v>
      </c>
      <c r="J122" t="s">
        <v>16</v>
      </c>
      <c r="K122" t="s">
        <v>17</v>
      </c>
    </row>
    <row r="123" spans="1:11" x14ac:dyDescent="0.25">
      <c r="A123" t="s">
        <v>115</v>
      </c>
      <c r="B123" t="s">
        <v>12</v>
      </c>
      <c r="C123" t="s">
        <v>13</v>
      </c>
      <c r="D123" t="s">
        <v>14</v>
      </c>
      <c r="E123" t="s">
        <v>21</v>
      </c>
      <c r="F123" t="s">
        <v>20</v>
      </c>
      <c r="G123">
        <v>1506</v>
      </c>
      <c r="H123" s="1">
        <v>109</v>
      </c>
      <c r="I123" s="2">
        <v>164154</v>
      </c>
      <c r="J123" t="s">
        <v>16</v>
      </c>
      <c r="K123" t="s">
        <v>17</v>
      </c>
    </row>
    <row r="124" spans="1:11" x14ac:dyDescent="0.25">
      <c r="A124" t="s">
        <v>116</v>
      </c>
      <c r="B124" t="s">
        <v>12</v>
      </c>
      <c r="C124" t="s">
        <v>13</v>
      </c>
      <c r="D124" t="s">
        <v>14</v>
      </c>
      <c r="E124" t="s">
        <v>21</v>
      </c>
      <c r="F124" t="s">
        <v>20</v>
      </c>
      <c r="G124">
        <v>2749</v>
      </c>
      <c r="H124" s="1">
        <v>89.9</v>
      </c>
      <c r="I124" s="2">
        <v>247135.1</v>
      </c>
      <c r="J124" t="s">
        <v>16</v>
      </c>
      <c r="K124" t="s">
        <v>17</v>
      </c>
    </row>
    <row r="125" spans="1:11" x14ac:dyDescent="0.25">
      <c r="A125" t="s">
        <v>117</v>
      </c>
      <c r="B125" t="s">
        <v>12</v>
      </c>
      <c r="C125" t="s">
        <v>13</v>
      </c>
      <c r="D125" t="s">
        <v>20</v>
      </c>
      <c r="E125" t="s">
        <v>26</v>
      </c>
      <c r="F125" t="s">
        <v>20</v>
      </c>
      <c r="G125">
        <v>2434</v>
      </c>
      <c r="H125" s="1">
        <v>19.989999999999998</v>
      </c>
      <c r="I125" s="2">
        <v>48655.66</v>
      </c>
      <c r="J125" t="s">
        <v>16</v>
      </c>
      <c r="K125" t="s">
        <v>17</v>
      </c>
    </row>
    <row r="126" spans="1:11" x14ac:dyDescent="0.25">
      <c r="A126" t="s">
        <v>118</v>
      </c>
      <c r="B126" t="s">
        <v>12</v>
      </c>
      <c r="C126" t="s">
        <v>13</v>
      </c>
      <c r="D126" t="s">
        <v>14</v>
      </c>
      <c r="E126" t="s">
        <v>26</v>
      </c>
      <c r="F126" t="s">
        <v>20</v>
      </c>
      <c r="G126">
        <v>2067</v>
      </c>
      <c r="H126" s="1">
        <v>79.900000000000006</v>
      </c>
      <c r="I126" s="2">
        <v>165153.29999999999</v>
      </c>
      <c r="J126" t="s">
        <v>16</v>
      </c>
      <c r="K126" t="s">
        <v>17</v>
      </c>
    </row>
    <row r="127" spans="1:11" x14ac:dyDescent="0.25">
      <c r="A127" t="s">
        <v>119</v>
      </c>
      <c r="B127" t="s">
        <v>12</v>
      </c>
      <c r="C127" t="s">
        <v>13</v>
      </c>
      <c r="D127" t="s">
        <v>20</v>
      </c>
      <c r="E127" t="s">
        <v>15</v>
      </c>
      <c r="F127" t="s">
        <v>20</v>
      </c>
      <c r="G127">
        <v>2989</v>
      </c>
      <c r="H127" s="1">
        <v>19.989999999999998</v>
      </c>
      <c r="I127" s="2">
        <v>59750.11</v>
      </c>
      <c r="J127" t="s">
        <v>16</v>
      </c>
      <c r="K127" t="s">
        <v>17</v>
      </c>
    </row>
    <row r="128" spans="1:11" x14ac:dyDescent="0.25">
      <c r="A128" t="s">
        <v>120</v>
      </c>
      <c r="B128" t="s">
        <v>12</v>
      </c>
      <c r="C128" t="s">
        <v>13</v>
      </c>
      <c r="D128" t="s">
        <v>20</v>
      </c>
      <c r="E128" t="s">
        <v>26</v>
      </c>
      <c r="F128" t="s">
        <v>14</v>
      </c>
      <c r="G128">
        <v>743</v>
      </c>
      <c r="H128" s="1">
        <v>59.9</v>
      </c>
      <c r="I128" s="2">
        <v>44505.7</v>
      </c>
      <c r="J128" t="s">
        <v>16</v>
      </c>
      <c r="K128" t="s">
        <v>17</v>
      </c>
    </row>
    <row r="129" spans="1:11" x14ac:dyDescent="0.25">
      <c r="A129" t="s">
        <v>121</v>
      </c>
      <c r="B129" t="s">
        <v>12</v>
      </c>
      <c r="C129" t="s">
        <v>13</v>
      </c>
      <c r="D129" t="s">
        <v>14</v>
      </c>
      <c r="E129" t="s">
        <v>26</v>
      </c>
      <c r="F129" t="s">
        <v>14</v>
      </c>
      <c r="G129">
        <v>2325</v>
      </c>
      <c r="H129" s="1">
        <v>109</v>
      </c>
      <c r="I129" s="2">
        <v>253425</v>
      </c>
      <c r="J129" t="s">
        <v>16</v>
      </c>
      <c r="K129" t="s">
        <v>17</v>
      </c>
    </row>
    <row r="130" spans="1:11" x14ac:dyDescent="0.25">
      <c r="A130" t="s">
        <v>122</v>
      </c>
      <c r="B130" t="s">
        <v>12</v>
      </c>
      <c r="C130" t="s">
        <v>13</v>
      </c>
      <c r="D130" t="s">
        <v>14</v>
      </c>
      <c r="E130" t="s">
        <v>21</v>
      </c>
      <c r="F130" t="s">
        <v>20</v>
      </c>
      <c r="G130">
        <v>1841</v>
      </c>
      <c r="H130" s="1">
        <v>109</v>
      </c>
      <c r="I130" s="2">
        <v>200669</v>
      </c>
      <c r="J130" t="s">
        <v>16</v>
      </c>
      <c r="K130" t="s">
        <v>17</v>
      </c>
    </row>
    <row r="131" spans="1:11" x14ac:dyDescent="0.25">
      <c r="A131" t="s">
        <v>109</v>
      </c>
      <c r="B131" t="s">
        <v>12</v>
      </c>
      <c r="C131" t="s">
        <v>13</v>
      </c>
      <c r="D131" t="s">
        <v>20</v>
      </c>
      <c r="E131" t="s">
        <v>15</v>
      </c>
      <c r="F131" t="s">
        <v>20</v>
      </c>
      <c r="G131">
        <v>2231</v>
      </c>
      <c r="H131" s="1">
        <v>49.9</v>
      </c>
      <c r="I131" s="2">
        <v>111326.9</v>
      </c>
      <c r="J131" t="s">
        <v>16</v>
      </c>
      <c r="K131" t="s">
        <v>17</v>
      </c>
    </row>
    <row r="132" spans="1:11" x14ac:dyDescent="0.25">
      <c r="A132" t="s">
        <v>123</v>
      </c>
      <c r="B132" t="s">
        <v>12</v>
      </c>
      <c r="C132" t="s">
        <v>124</v>
      </c>
      <c r="D132" t="s">
        <v>14</v>
      </c>
      <c r="E132" t="s">
        <v>15</v>
      </c>
      <c r="F132" t="s">
        <v>20</v>
      </c>
      <c r="G132">
        <v>2211</v>
      </c>
      <c r="H132" s="1">
        <v>89.9</v>
      </c>
      <c r="I132" s="2">
        <v>198768.9</v>
      </c>
      <c r="J132" t="s">
        <v>16</v>
      </c>
      <c r="K132" t="s">
        <v>17</v>
      </c>
    </row>
    <row r="133" spans="1:11" x14ac:dyDescent="0.25">
      <c r="A133" t="s">
        <v>125</v>
      </c>
      <c r="B133" t="s">
        <v>12</v>
      </c>
      <c r="C133" t="s">
        <v>124</v>
      </c>
      <c r="D133" t="s">
        <v>14</v>
      </c>
      <c r="E133" t="s">
        <v>21</v>
      </c>
      <c r="F133" t="s">
        <v>14</v>
      </c>
      <c r="G133">
        <v>2114</v>
      </c>
      <c r="H133" s="1">
        <v>69.900000000000006</v>
      </c>
      <c r="I133" s="2">
        <v>147768.6</v>
      </c>
      <c r="J133" t="s">
        <v>16</v>
      </c>
      <c r="K133" t="s">
        <v>17</v>
      </c>
    </row>
    <row r="134" spans="1:11" x14ac:dyDescent="0.25">
      <c r="A134" t="s">
        <v>126</v>
      </c>
      <c r="B134" t="s">
        <v>12</v>
      </c>
      <c r="C134" t="s">
        <v>124</v>
      </c>
      <c r="D134" t="s">
        <v>20</v>
      </c>
      <c r="E134" t="s">
        <v>15</v>
      </c>
      <c r="F134" t="s">
        <v>20</v>
      </c>
      <c r="G134">
        <v>1350</v>
      </c>
      <c r="H134" s="1">
        <v>69.900000000000006</v>
      </c>
      <c r="I134" s="2">
        <v>94365</v>
      </c>
      <c r="J134" t="s">
        <v>16</v>
      </c>
      <c r="K134" t="s">
        <v>17</v>
      </c>
    </row>
    <row r="135" spans="1:11" x14ac:dyDescent="0.25">
      <c r="A135" t="s">
        <v>127</v>
      </c>
      <c r="B135" t="s">
        <v>12</v>
      </c>
      <c r="C135" t="s">
        <v>124</v>
      </c>
      <c r="D135" t="s">
        <v>14</v>
      </c>
      <c r="E135" t="s">
        <v>21</v>
      </c>
      <c r="F135" t="s">
        <v>14</v>
      </c>
      <c r="G135">
        <v>2240</v>
      </c>
      <c r="H135" s="1">
        <v>69.900000000000006</v>
      </c>
      <c r="I135" s="2">
        <v>156576</v>
      </c>
      <c r="J135" t="s">
        <v>16</v>
      </c>
      <c r="K135" t="s">
        <v>17</v>
      </c>
    </row>
    <row r="136" spans="1:11" x14ac:dyDescent="0.25">
      <c r="A136" t="s">
        <v>128</v>
      </c>
      <c r="B136" t="s">
        <v>12</v>
      </c>
      <c r="C136" t="s">
        <v>124</v>
      </c>
      <c r="D136" t="s">
        <v>20</v>
      </c>
      <c r="E136" t="s">
        <v>21</v>
      </c>
      <c r="F136" t="s">
        <v>14</v>
      </c>
      <c r="G136">
        <v>1296</v>
      </c>
      <c r="H136" s="1">
        <v>59.9</v>
      </c>
      <c r="I136" s="2">
        <v>77630.399999999994</v>
      </c>
      <c r="J136" t="s">
        <v>16</v>
      </c>
      <c r="K136" t="s">
        <v>17</v>
      </c>
    </row>
    <row r="137" spans="1:11" x14ac:dyDescent="0.25">
      <c r="A137" t="s">
        <v>129</v>
      </c>
      <c r="B137" t="s">
        <v>12</v>
      </c>
      <c r="C137" t="s">
        <v>124</v>
      </c>
      <c r="D137" t="s">
        <v>20</v>
      </c>
      <c r="E137" t="s">
        <v>21</v>
      </c>
      <c r="F137" t="s">
        <v>20</v>
      </c>
      <c r="G137">
        <v>892</v>
      </c>
      <c r="H137" s="1">
        <v>59.9</v>
      </c>
      <c r="I137" s="2">
        <v>53430.8</v>
      </c>
      <c r="J137" t="s">
        <v>16</v>
      </c>
      <c r="K137" t="s">
        <v>17</v>
      </c>
    </row>
    <row r="138" spans="1:11" x14ac:dyDescent="0.25">
      <c r="A138" t="s">
        <v>130</v>
      </c>
      <c r="B138" t="s">
        <v>12</v>
      </c>
      <c r="C138" t="s">
        <v>124</v>
      </c>
      <c r="D138" t="s">
        <v>14</v>
      </c>
      <c r="E138" t="s">
        <v>21</v>
      </c>
      <c r="F138" t="s">
        <v>20</v>
      </c>
      <c r="G138">
        <v>1678</v>
      </c>
      <c r="H138" s="1">
        <v>49.9</v>
      </c>
      <c r="I138" s="2">
        <v>83732.2</v>
      </c>
      <c r="J138" t="s">
        <v>16</v>
      </c>
      <c r="K138" t="s">
        <v>17</v>
      </c>
    </row>
    <row r="139" spans="1:11" x14ac:dyDescent="0.25">
      <c r="A139" t="s">
        <v>131</v>
      </c>
      <c r="B139" t="s">
        <v>12</v>
      </c>
      <c r="C139" t="s">
        <v>124</v>
      </c>
      <c r="D139" t="s">
        <v>14</v>
      </c>
      <c r="E139" t="s">
        <v>21</v>
      </c>
      <c r="F139" t="s">
        <v>14</v>
      </c>
      <c r="G139">
        <v>2016</v>
      </c>
      <c r="H139" s="1">
        <v>49.9</v>
      </c>
      <c r="I139" s="2">
        <v>100598.39999999999</v>
      </c>
      <c r="J139" t="s">
        <v>16</v>
      </c>
      <c r="K139" t="s">
        <v>17</v>
      </c>
    </row>
    <row r="140" spans="1:11" x14ac:dyDescent="0.25">
      <c r="A140" t="s">
        <v>132</v>
      </c>
      <c r="B140" t="s">
        <v>12</v>
      </c>
      <c r="C140" t="s">
        <v>124</v>
      </c>
      <c r="D140" t="s">
        <v>14</v>
      </c>
      <c r="E140" t="s">
        <v>26</v>
      </c>
      <c r="F140" t="s">
        <v>20</v>
      </c>
      <c r="G140">
        <v>1498</v>
      </c>
      <c r="H140" s="1">
        <v>45.9</v>
      </c>
      <c r="I140" s="2">
        <v>68758.2</v>
      </c>
      <c r="J140" t="s">
        <v>16</v>
      </c>
      <c r="K140" t="s">
        <v>17</v>
      </c>
    </row>
    <row r="141" spans="1:11" x14ac:dyDescent="0.25">
      <c r="A141" t="s">
        <v>133</v>
      </c>
      <c r="B141" t="s">
        <v>12</v>
      </c>
      <c r="C141" t="s">
        <v>124</v>
      </c>
      <c r="D141" t="s">
        <v>14</v>
      </c>
      <c r="E141" t="s">
        <v>15</v>
      </c>
      <c r="F141" t="s">
        <v>20</v>
      </c>
      <c r="G141">
        <v>2491</v>
      </c>
      <c r="H141" s="1">
        <v>9.99</v>
      </c>
      <c r="I141" s="2">
        <v>24885.09</v>
      </c>
      <c r="J141" t="s">
        <v>16</v>
      </c>
      <c r="K141" t="s">
        <v>17</v>
      </c>
    </row>
    <row r="142" spans="1:11" x14ac:dyDescent="0.25">
      <c r="A142" t="s">
        <v>134</v>
      </c>
      <c r="B142" t="s">
        <v>12</v>
      </c>
      <c r="C142" t="s">
        <v>124</v>
      </c>
      <c r="D142" t="s">
        <v>14</v>
      </c>
      <c r="E142" t="s">
        <v>15</v>
      </c>
      <c r="F142" t="s">
        <v>14</v>
      </c>
      <c r="G142">
        <v>2556</v>
      </c>
      <c r="H142" s="1">
        <v>9.99</v>
      </c>
      <c r="I142" s="2">
        <v>25534.44</v>
      </c>
      <c r="J142" t="s">
        <v>16</v>
      </c>
      <c r="K142" t="s">
        <v>17</v>
      </c>
    </row>
    <row r="143" spans="1:11" x14ac:dyDescent="0.25">
      <c r="A143" t="s">
        <v>135</v>
      </c>
      <c r="B143" t="s">
        <v>12</v>
      </c>
      <c r="C143" t="s">
        <v>124</v>
      </c>
      <c r="D143" t="s">
        <v>20</v>
      </c>
      <c r="E143" t="s">
        <v>15</v>
      </c>
      <c r="F143" t="s">
        <v>14</v>
      </c>
      <c r="G143">
        <v>2852</v>
      </c>
      <c r="H143" s="1">
        <v>45.9</v>
      </c>
      <c r="I143" s="2">
        <v>130906.8</v>
      </c>
      <c r="J143" t="s">
        <v>16</v>
      </c>
      <c r="K143" t="s">
        <v>17</v>
      </c>
    </row>
    <row r="144" spans="1:11" x14ac:dyDescent="0.25">
      <c r="A144" t="s">
        <v>136</v>
      </c>
      <c r="B144" t="s">
        <v>12</v>
      </c>
      <c r="C144" t="s">
        <v>124</v>
      </c>
      <c r="D144" t="s">
        <v>20</v>
      </c>
      <c r="E144" t="s">
        <v>15</v>
      </c>
      <c r="F144" t="s">
        <v>14</v>
      </c>
      <c r="G144">
        <v>1899</v>
      </c>
      <c r="H144" s="1">
        <v>99.9</v>
      </c>
      <c r="I144" s="2">
        <v>189710.1</v>
      </c>
      <c r="J144" t="s">
        <v>16</v>
      </c>
      <c r="K144" t="s">
        <v>17</v>
      </c>
    </row>
    <row r="145" spans="1:11" x14ac:dyDescent="0.25">
      <c r="A145" t="s">
        <v>137</v>
      </c>
      <c r="B145" t="s">
        <v>12</v>
      </c>
      <c r="C145" t="s">
        <v>124</v>
      </c>
      <c r="D145" t="s">
        <v>20</v>
      </c>
      <c r="E145" t="s">
        <v>26</v>
      </c>
      <c r="F145" t="s">
        <v>14</v>
      </c>
      <c r="G145">
        <v>2466</v>
      </c>
      <c r="H145" s="1">
        <v>89.9</v>
      </c>
      <c r="I145" s="2">
        <v>221693.4</v>
      </c>
      <c r="J145" t="s">
        <v>16</v>
      </c>
      <c r="K145" t="s">
        <v>17</v>
      </c>
    </row>
    <row r="146" spans="1:11" x14ac:dyDescent="0.25">
      <c r="A146" t="s">
        <v>138</v>
      </c>
      <c r="B146" t="s">
        <v>12</v>
      </c>
      <c r="C146" t="s">
        <v>124</v>
      </c>
      <c r="D146" t="s">
        <v>14</v>
      </c>
      <c r="E146" t="s">
        <v>15</v>
      </c>
      <c r="F146" t="s">
        <v>14</v>
      </c>
      <c r="G146">
        <v>818</v>
      </c>
      <c r="H146" s="1">
        <v>45.9</v>
      </c>
      <c r="I146" s="2">
        <v>37546.199999999997</v>
      </c>
      <c r="J146" t="s">
        <v>16</v>
      </c>
      <c r="K146" t="s">
        <v>17</v>
      </c>
    </row>
    <row r="147" spans="1:11" x14ac:dyDescent="0.25">
      <c r="A147" t="s">
        <v>139</v>
      </c>
      <c r="B147" t="s">
        <v>12</v>
      </c>
      <c r="C147" t="s">
        <v>124</v>
      </c>
      <c r="D147" t="s">
        <v>14</v>
      </c>
      <c r="E147" t="s">
        <v>15</v>
      </c>
      <c r="F147" t="s">
        <v>14</v>
      </c>
      <c r="G147">
        <v>1500</v>
      </c>
      <c r="H147" s="1">
        <v>59.9</v>
      </c>
      <c r="I147" s="2">
        <v>89850</v>
      </c>
      <c r="J147" t="s">
        <v>16</v>
      </c>
      <c r="K147" t="s">
        <v>17</v>
      </c>
    </row>
    <row r="148" spans="1:11" x14ac:dyDescent="0.25">
      <c r="A148" t="s">
        <v>140</v>
      </c>
      <c r="B148" t="s">
        <v>12</v>
      </c>
      <c r="C148" t="s">
        <v>124</v>
      </c>
      <c r="D148" t="s">
        <v>20</v>
      </c>
      <c r="E148" t="s">
        <v>21</v>
      </c>
      <c r="F148" t="s">
        <v>14</v>
      </c>
      <c r="G148">
        <v>2878</v>
      </c>
      <c r="H148" s="1">
        <v>79.900000000000006</v>
      </c>
      <c r="I148" s="2">
        <v>229952.2</v>
      </c>
      <c r="J148" t="s">
        <v>16</v>
      </c>
      <c r="K148" t="s">
        <v>17</v>
      </c>
    </row>
    <row r="149" spans="1:11" x14ac:dyDescent="0.25">
      <c r="A149" t="s">
        <v>141</v>
      </c>
      <c r="B149" t="s">
        <v>12</v>
      </c>
      <c r="C149" t="s">
        <v>124</v>
      </c>
      <c r="D149" t="s">
        <v>20</v>
      </c>
      <c r="E149" t="s">
        <v>26</v>
      </c>
      <c r="F149" t="s">
        <v>14</v>
      </c>
      <c r="G149">
        <v>2386</v>
      </c>
      <c r="H149" s="1">
        <v>69.900000000000006</v>
      </c>
      <c r="I149" s="2">
        <v>166781.4</v>
      </c>
      <c r="J149" t="s">
        <v>16</v>
      </c>
      <c r="K149" t="s">
        <v>17</v>
      </c>
    </row>
    <row r="150" spans="1:11" x14ac:dyDescent="0.25">
      <c r="A150" t="s">
        <v>142</v>
      </c>
      <c r="B150" t="s">
        <v>12</v>
      </c>
      <c r="C150" t="s">
        <v>124</v>
      </c>
      <c r="D150" t="s">
        <v>20</v>
      </c>
      <c r="E150" t="s">
        <v>21</v>
      </c>
      <c r="F150" t="s">
        <v>20</v>
      </c>
      <c r="G150">
        <v>2076</v>
      </c>
      <c r="H150" s="1">
        <v>99.9</v>
      </c>
      <c r="I150" s="2">
        <v>207392.4</v>
      </c>
      <c r="J150" t="s">
        <v>16</v>
      </c>
      <c r="K150" t="s">
        <v>17</v>
      </c>
    </row>
    <row r="151" spans="1:11" x14ac:dyDescent="0.25">
      <c r="A151" t="s">
        <v>143</v>
      </c>
      <c r="B151" t="s">
        <v>12</v>
      </c>
      <c r="C151" t="s">
        <v>124</v>
      </c>
      <c r="D151" t="s">
        <v>14</v>
      </c>
      <c r="E151" t="s">
        <v>26</v>
      </c>
      <c r="F151" t="s">
        <v>14</v>
      </c>
      <c r="G151">
        <v>2734</v>
      </c>
      <c r="H151" s="1">
        <v>59.9</v>
      </c>
      <c r="I151" s="2">
        <v>163766.6</v>
      </c>
      <c r="J151" t="s">
        <v>16</v>
      </c>
      <c r="K151" t="s">
        <v>17</v>
      </c>
    </row>
    <row r="152" spans="1:11" x14ac:dyDescent="0.25">
      <c r="A152" t="s">
        <v>144</v>
      </c>
      <c r="B152" t="s">
        <v>12</v>
      </c>
      <c r="C152" t="s">
        <v>124</v>
      </c>
      <c r="D152" t="s">
        <v>20</v>
      </c>
      <c r="E152" t="s">
        <v>15</v>
      </c>
      <c r="F152" t="s">
        <v>14</v>
      </c>
      <c r="G152">
        <v>2836</v>
      </c>
      <c r="H152" s="1">
        <v>59.9</v>
      </c>
      <c r="I152" s="2">
        <v>169876.4</v>
      </c>
      <c r="J152" t="s">
        <v>16</v>
      </c>
      <c r="K152" t="s">
        <v>17</v>
      </c>
    </row>
    <row r="153" spans="1:11" x14ac:dyDescent="0.25">
      <c r="A153" t="s">
        <v>145</v>
      </c>
      <c r="B153" t="s">
        <v>12</v>
      </c>
      <c r="C153" t="s">
        <v>124</v>
      </c>
      <c r="D153" t="s">
        <v>14</v>
      </c>
      <c r="E153" t="s">
        <v>26</v>
      </c>
      <c r="F153" t="s">
        <v>14</v>
      </c>
      <c r="G153">
        <v>2193</v>
      </c>
      <c r="H153" s="1">
        <v>89.9</v>
      </c>
      <c r="I153" s="2">
        <v>197150.7</v>
      </c>
      <c r="J153" t="s">
        <v>16</v>
      </c>
      <c r="K153" t="s">
        <v>17</v>
      </c>
    </row>
    <row r="154" spans="1:11" x14ac:dyDescent="0.25">
      <c r="A154" t="s">
        <v>146</v>
      </c>
      <c r="B154" t="s">
        <v>12</v>
      </c>
      <c r="C154" t="s">
        <v>124</v>
      </c>
      <c r="D154" t="s">
        <v>20</v>
      </c>
      <c r="E154" t="s">
        <v>15</v>
      </c>
      <c r="F154" t="s">
        <v>14</v>
      </c>
      <c r="G154">
        <v>2164</v>
      </c>
      <c r="H154" s="1">
        <v>89.9</v>
      </c>
      <c r="I154" s="2">
        <v>194543.6</v>
      </c>
      <c r="J154" t="s">
        <v>16</v>
      </c>
      <c r="K154" t="s">
        <v>17</v>
      </c>
    </row>
    <row r="155" spans="1:11" x14ac:dyDescent="0.25">
      <c r="A155" t="s">
        <v>147</v>
      </c>
      <c r="B155" t="s">
        <v>12</v>
      </c>
      <c r="C155" t="s">
        <v>124</v>
      </c>
      <c r="D155" t="s">
        <v>20</v>
      </c>
      <c r="E155" t="s">
        <v>26</v>
      </c>
      <c r="F155" t="s">
        <v>20</v>
      </c>
      <c r="G155">
        <v>991</v>
      </c>
      <c r="H155" s="1">
        <v>45.9</v>
      </c>
      <c r="I155" s="2">
        <v>45486.9</v>
      </c>
      <c r="J155" t="s">
        <v>16</v>
      </c>
      <c r="K155" t="s">
        <v>17</v>
      </c>
    </row>
    <row r="156" spans="1:11" x14ac:dyDescent="0.25">
      <c r="A156" t="s">
        <v>131</v>
      </c>
      <c r="B156" t="s">
        <v>12</v>
      </c>
      <c r="C156" t="s">
        <v>124</v>
      </c>
      <c r="D156" t="s">
        <v>20</v>
      </c>
      <c r="E156" t="s">
        <v>21</v>
      </c>
      <c r="F156" t="s">
        <v>20</v>
      </c>
      <c r="G156">
        <v>1525</v>
      </c>
      <c r="H156" s="1">
        <v>69.900000000000006</v>
      </c>
      <c r="I156" s="2">
        <v>106597.5</v>
      </c>
      <c r="J156" t="s">
        <v>16</v>
      </c>
      <c r="K156" t="s">
        <v>17</v>
      </c>
    </row>
    <row r="157" spans="1:11" x14ac:dyDescent="0.25">
      <c r="A157" t="s">
        <v>148</v>
      </c>
      <c r="B157" t="s">
        <v>12</v>
      </c>
      <c r="C157" t="s">
        <v>124</v>
      </c>
      <c r="D157" t="s">
        <v>14</v>
      </c>
      <c r="E157" t="s">
        <v>26</v>
      </c>
      <c r="F157" t="s">
        <v>14</v>
      </c>
      <c r="G157">
        <v>923</v>
      </c>
      <c r="H157" s="1">
        <v>69.900000000000006</v>
      </c>
      <c r="I157" s="2">
        <v>64517.7</v>
      </c>
      <c r="J157" t="s">
        <v>16</v>
      </c>
      <c r="K157" t="s">
        <v>17</v>
      </c>
    </row>
    <row r="158" spans="1:11" x14ac:dyDescent="0.25">
      <c r="A158" t="s">
        <v>149</v>
      </c>
      <c r="B158" t="s">
        <v>12</v>
      </c>
      <c r="C158" t="s">
        <v>124</v>
      </c>
      <c r="D158" t="s">
        <v>14</v>
      </c>
      <c r="E158" t="s">
        <v>26</v>
      </c>
      <c r="F158" t="s">
        <v>20</v>
      </c>
      <c r="G158">
        <v>2397</v>
      </c>
      <c r="H158" s="1">
        <v>69.900000000000006</v>
      </c>
      <c r="I158" s="2">
        <v>167550.29999999999</v>
      </c>
      <c r="J158" t="s">
        <v>16</v>
      </c>
      <c r="K158" t="s">
        <v>17</v>
      </c>
    </row>
    <row r="159" spans="1:11" x14ac:dyDescent="0.25">
      <c r="A159" t="s">
        <v>150</v>
      </c>
      <c r="B159" t="s">
        <v>12</v>
      </c>
      <c r="C159" t="s">
        <v>124</v>
      </c>
      <c r="D159" t="s">
        <v>14</v>
      </c>
      <c r="E159" t="s">
        <v>21</v>
      </c>
      <c r="F159" t="s">
        <v>14</v>
      </c>
      <c r="G159">
        <v>1191</v>
      </c>
      <c r="H159" s="1">
        <v>69.900000000000006</v>
      </c>
      <c r="I159" s="2">
        <v>83250.899999999994</v>
      </c>
      <c r="J159" t="s">
        <v>16</v>
      </c>
      <c r="K159" t="s">
        <v>17</v>
      </c>
    </row>
    <row r="160" spans="1:11" x14ac:dyDescent="0.25">
      <c r="A160" t="s">
        <v>151</v>
      </c>
      <c r="B160" t="s">
        <v>12</v>
      </c>
      <c r="C160" t="s">
        <v>124</v>
      </c>
      <c r="D160" t="s">
        <v>20</v>
      </c>
      <c r="E160" t="s">
        <v>15</v>
      </c>
      <c r="F160" t="s">
        <v>14</v>
      </c>
      <c r="G160">
        <v>1237</v>
      </c>
      <c r="H160" s="1">
        <v>49.9</v>
      </c>
      <c r="I160" s="2">
        <v>61726.3</v>
      </c>
      <c r="J160" t="s">
        <v>16</v>
      </c>
      <c r="K160" t="s">
        <v>17</v>
      </c>
    </row>
    <row r="161" spans="1:11" x14ac:dyDescent="0.25">
      <c r="A161" t="s">
        <v>141</v>
      </c>
      <c r="B161" t="s">
        <v>12</v>
      </c>
      <c r="C161" t="s">
        <v>124</v>
      </c>
      <c r="D161" t="s">
        <v>20</v>
      </c>
      <c r="E161" t="s">
        <v>15</v>
      </c>
      <c r="F161" t="s">
        <v>14</v>
      </c>
      <c r="G161">
        <v>1504</v>
      </c>
      <c r="H161" s="1">
        <v>69.900000000000006</v>
      </c>
      <c r="I161" s="2">
        <v>105129.60000000001</v>
      </c>
      <c r="J161" t="s">
        <v>16</v>
      </c>
      <c r="K161" t="s">
        <v>17</v>
      </c>
    </row>
    <row r="162" spans="1:11" x14ac:dyDescent="0.25">
      <c r="A162" t="s">
        <v>152</v>
      </c>
      <c r="B162" t="s">
        <v>12</v>
      </c>
      <c r="C162" t="s">
        <v>153</v>
      </c>
      <c r="D162" t="s">
        <v>20</v>
      </c>
      <c r="E162" t="s">
        <v>15</v>
      </c>
      <c r="F162" t="s">
        <v>20</v>
      </c>
      <c r="G162">
        <v>2863</v>
      </c>
      <c r="H162" s="1">
        <v>39.9</v>
      </c>
      <c r="I162" s="2">
        <v>114233.7</v>
      </c>
      <c r="J162" t="s">
        <v>16</v>
      </c>
      <c r="K162" t="s">
        <v>154</v>
      </c>
    </row>
    <row r="163" spans="1:11" x14ac:dyDescent="0.25">
      <c r="A163" t="s">
        <v>155</v>
      </c>
      <c r="B163" t="s">
        <v>12</v>
      </c>
      <c r="C163" t="s">
        <v>153</v>
      </c>
      <c r="D163" t="s">
        <v>20</v>
      </c>
      <c r="E163" t="s">
        <v>21</v>
      </c>
      <c r="F163" t="s">
        <v>14</v>
      </c>
      <c r="G163">
        <v>2760</v>
      </c>
      <c r="H163" s="1">
        <v>69.900000000000006</v>
      </c>
      <c r="I163" s="2">
        <v>192924</v>
      </c>
      <c r="J163" t="s">
        <v>16</v>
      </c>
      <c r="K163" t="s">
        <v>154</v>
      </c>
    </row>
    <row r="164" spans="1:11" x14ac:dyDescent="0.25">
      <c r="A164" t="s">
        <v>156</v>
      </c>
      <c r="B164" t="s">
        <v>12</v>
      </c>
      <c r="C164" t="s">
        <v>153</v>
      </c>
      <c r="D164" t="s">
        <v>14</v>
      </c>
      <c r="E164" t="s">
        <v>26</v>
      </c>
      <c r="F164" t="s">
        <v>20</v>
      </c>
      <c r="G164">
        <v>542</v>
      </c>
      <c r="H164" s="1">
        <v>7.99</v>
      </c>
      <c r="I164" s="2">
        <v>4330.58</v>
      </c>
      <c r="J164" t="s">
        <v>16</v>
      </c>
      <c r="K164" t="s">
        <v>154</v>
      </c>
    </row>
    <row r="165" spans="1:11" x14ac:dyDescent="0.25">
      <c r="A165" t="s">
        <v>157</v>
      </c>
      <c r="B165" t="s">
        <v>12</v>
      </c>
      <c r="C165" t="s">
        <v>153</v>
      </c>
      <c r="D165" t="s">
        <v>20</v>
      </c>
      <c r="E165" t="s">
        <v>21</v>
      </c>
      <c r="F165" t="s">
        <v>20</v>
      </c>
      <c r="G165">
        <v>1105</v>
      </c>
      <c r="H165" s="1">
        <v>49.9</v>
      </c>
      <c r="I165" s="2">
        <v>55139.5</v>
      </c>
      <c r="J165" t="s">
        <v>16</v>
      </c>
      <c r="K165" t="s">
        <v>154</v>
      </c>
    </row>
    <row r="166" spans="1:11" x14ac:dyDescent="0.25">
      <c r="A166" t="s">
        <v>158</v>
      </c>
      <c r="B166" t="s">
        <v>12</v>
      </c>
      <c r="C166" t="s">
        <v>153</v>
      </c>
      <c r="D166" t="s">
        <v>20</v>
      </c>
      <c r="E166" t="s">
        <v>21</v>
      </c>
      <c r="F166" t="s">
        <v>14</v>
      </c>
      <c r="G166">
        <v>1435</v>
      </c>
      <c r="H166" s="1">
        <v>49.9</v>
      </c>
      <c r="I166" s="2">
        <v>71606.5</v>
      </c>
      <c r="J166" t="s">
        <v>16</v>
      </c>
      <c r="K166" t="s">
        <v>154</v>
      </c>
    </row>
    <row r="167" spans="1:11" x14ac:dyDescent="0.25">
      <c r="A167" t="s">
        <v>159</v>
      </c>
      <c r="B167" t="s">
        <v>12</v>
      </c>
      <c r="C167" t="s">
        <v>153</v>
      </c>
      <c r="D167" t="s">
        <v>20</v>
      </c>
      <c r="E167" t="s">
        <v>15</v>
      </c>
      <c r="F167" t="s">
        <v>20</v>
      </c>
      <c r="G167">
        <v>2877</v>
      </c>
      <c r="H167" s="1">
        <v>59.9</v>
      </c>
      <c r="I167" s="2">
        <v>172332.3</v>
      </c>
      <c r="J167" t="s">
        <v>16</v>
      </c>
      <c r="K167" t="s">
        <v>154</v>
      </c>
    </row>
    <row r="168" spans="1:11" x14ac:dyDescent="0.25">
      <c r="A168" t="s">
        <v>160</v>
      </c>
      <c r="B168" t="s">
        <v>12</v>
      </c>
      <c r="C168" t="s">
        <v>153</v>
      </c>
      <c r="D168" t="s">
        <v>14</v>
      </c>
      <c r="E168" t="s">
        <v>15</v>
      </c>
      <c r="F168" t="s">
        <v>20</v>
      </c>
      <c r="G168">
        <v>1094</v>
      </c>
      <c r="H168" s="1">
        <v>69.900000000000006</v>
      </c>
      <c r="I168" s="2">
        <v>76470.600000000006</v>
      </c>
      <c r="J168" t="s">
        <v>16</v>
      </c>
      <c r="K168" t="s">
        <v>154</v>
      </c>
    </row>
    <row r="169" spans="1:11" x14ac:dyDescent="0.25">
      <c r="A169" t="s">
        <v>161</v>
      </c>
      <c r="B169" t="s">
        <v>12</v>
      </c>
      <c r="C169" t="s">
        <v>153</v>
      </c>
      <c r="D169" t="s">
        <v>14</v>
      </c>
      <c r="E169" t="s">
        <v>15</v>
      </c>
      <c r="F169" t="s">
        <v>20</v>
      </c>
      <c r="G169">
        <v>994</v>
      </c>
      <c r="H169" s="1">
        <v>49.9</v>
      </c>
      <c r="I169" s="2">
        <v>49600.6</v>
      </c>
      <c r="J169" t="s">
        <v>16</v>
      </c>
      <c r="K169" t="s">
        <v>154</v>
      </c>
    </row>
    <row r="170" spans="1:11" x14ac:dyDescent="0.25">
      <c r="A170" t="s">
        <v>162</v>
      </c>
      <c r="B170" t="s">
        <v>12</v>
      </c>
      <c r="C170" t="s">
        <v>153</v>
      </c>
      <c r="D170" t="s">
        <v>20</v>
      </c>
      <c r="E170" t="s">
        <v>21</v>
      </c>
      <c r="F170" t="s">
        <v>14</v>
      </c>
      <c r="G170">
        <v>1942</v>
      </c>
      <c r="H170" s="1">
        <v>49.9</v>
      </c>
      <c r="I170" s="2">
        <v>96905.8</v>
      </c>
      <c r="J170" t="s">
        <v>16</v>
      </c>
      <c r="K170" t="s">
        <v>154</v>
      </c>
    </row>
    <row r="171" spans="1:11" x14ac:dyDescent="0.25">
      <c r="A171" t="s">
        <v>163</v>
      </c>
      <c r="B171" t="s">
        <v>12</v>
      </c>
      <c r="C171" t="s">
        <v>153</v>
      </c>
      <c r="D171" t="s">
        <v>14</v>
      </c>
      <c r="E171" t="s">
        <v>26</v>
      </c>
      <c r="F171" t="s">
        <v>20</v>
      </c>
      <c r="G171">
        <v>2572</v>
      </c>
      <c r="H171" s="1">
        <v>169</v>
      </c>
      <c r="I171" s="2">
        <v>434668</v>
      </c>
      <c r="J171" t="s">
        <v>16</v>
      </c>
      <c r="K171" t="s">
        <v>154</v>
      </c>
    </row>
    <row r="172" spans="1:11" x14ac:dyDescent="0.25">
      <c r="A172" t="s">
        <v>164</v>
      </c>
      <c r="B172" t="s">
        <v>12</v>
      </c>
      <c r="C172" t="s">
        <v>153</v>
      </c>
      <c r="D172" t="s">
        <v>14</v>
      </c>
      <c r="E172" t="s">
        <v>15</v>
      </c>
      <c r="F172" t="s">
        <v>14</v>
      </c>
      <c r="G172">
        <v>1736</v>
      </c>
      <c r="H172" s="1">
        <v>79.900000000000006</v>
      </c>
      <c r="I172" s="2">
        <v>138706.4</v>
      </c>
      <c r="J172" t="s">
        <v>16</v>
      </c>
      <c r="K172" t="s">
        <v>154</v>
      </c>
    </row>
    <row r="173" spans="1:11" x14ac:dyDescent="0.25">
      <c r="A173" t="s">
        <v>165</v>
      </c>
      <c r="B173" t="s">
        <v>12</v>
      </c>
      <c r="C173" t="s">
        <v>153</v>
      </c>
      <c r="D173" t="s">
        <v>20</v>
      </c>
      <c r="E173" t="s">
        <v>15</v>
      </c>
      <c r="F173" t="s">
        <v>20</v>
      </c>
      <c r="G173">
        <v>1204</v>
      </c>
      <c r="H173" s="1">
        <v>49.9</v>
      </c>
      <c r="I173" s="2">
        <v>60079.6</v>
      </c>
      <c r="J173" t="s">
        <v>16</v>
      </c>
      <c r="K173" t="s">
        <v>154</v>
      </c>
    </row>
    <row r="174" spans="1:11" x14ac:dyDescent="0.25">
      <c r="A174" t="s">
        <v>166</v>
      </c>
      <c r="B174" t="s">
        <v>12</v>
      </c>
      <c r="C174" t="s">
        <v>153</v>
      </c>
      <c r="D174" t="s">
        <v>14</v>
      </c>
      <c r="E174" t="s">
        <v>21</v>
      </c>
      <c r="F174" t="s">
        <v>20</v>
      </c>
      <c r="G174">
        <v>1592</v>
      </c>
      <c r="H174" s="1">
        <v>49.9</v>
      </c>
      <c r="I174" s="2">
        <v>79440.800000000003</v>
      </c>
      <c r="J174" t="s">
        <v>16</v>
      </c>
      <c r="K174" t="s">
        <v>154</v>
      </c>
    </row>
    <row r="175" spans="1:11" x14ac:dyDescent="0.25">
      <c r="A175" t="s">
        <v>167</v>
      </c>
      <c r="B175" t="s">
        <v>12</v>
      </c>
      <c r="C175" t="s">
        <v>153</v>
      </c>
      <c r="D175" t="s">
        <v>20</v>
      </c>
      <c r="E175" t="s">
        <v>26</v>
      </c>
      <c r="F175" t="s">
        <v>14</v>
      </c>
      <c r="G175">
        <v>2591</v>
      </c>
      <c r="H175" s="1">
        <v>39.9</v>
      </c>
      <c r="I175" s="2">
        <v>103380.9</v>
      </c>
      <c r="J175" t="s">
        <v>16</v>
      </c>
      <c r="K175" t="s">
        <v>154</v>
      </c>
    </row>
    <row r="176" spans="1:11" x14ac:dyDescent="0.25">
      <c r="A176" t="s">
        <v>168</v>
      </c>
      <c r="B176" t="s">
        <v>12</v>
      </c>
      <c r="C176" t="s">
        <v>153</v>
      </c>
      <c r="D176" t="s">
        <v>20</v>
      </c>
      <c r="E176" t="s">
        <v>21</v>
      </c>
      <c r="F176" t="s">
        <v>20</v>
      </c>
      <c r="G176">
        <v>2097</v>
      </c>
      <c r="H176" s="1">
        <v>35.9</v>
      </c>
      <c r="I176" s="2">
        <v>75282.3</v>
      </c>
      <c r="J176" t="s">
        <v>16</v>
      </c>
      <c r="K176" t="s">
        <v>154</v>
      </c>
    </row>
    <row r="177" spans="1:11" x14ac:dyDescent="0.25">
      <c r="A177" t="s">
        <v>169</v>
      </c>
      <c r="B177" t="s">
        <v>12</v>
      </c>
      <c r="C177" t="s">
        <v>153</v>
      </c>
      <c r="D177" t="s">
        <v>14</v>
      </c>
      <c r="E177" t="s">
        <v>26</v>
      </c>
      <c r="F177" t="s">
        <v>14</v>
      </c>
      <c r="G177">
        <v>897</v>
      </c>
      <c r="H177" s="1">
        <v>49.9</v>
      </c>
      <c r="I177" s="2">
        <v>44760.3</v>
      </c>
      <c r="J177" t="s">
        <v>16</v>
      </c>
      <c r="K177" t="s">
        <v>154</v>
      </c>
    </row>
    <row r="178" spans="1:11" x14ac:dyDescent="0.25">
      <c r="A178" t="s">
        <v>170</v>
      </c>
      <c r="B178" t="s">
        <v>12</v>
      </c>
      <c r="C178" t="s">
        <v>153</v>
      </c>
      <c r="D178" t="s">
        <v>14</v>
      </c>
      <c r="E178" t="s">
        <v>15</v>
      </c>
      <c r="F178" t="s">
        <v>20</v>
      </c>
      <c r="G178">
        <v>1552</v>
      </c>
      <c r="H178" s="1">
        <v>39.9</v>
      </c>
      <c r="I178" s="2">
        <v>61924.800000000003</v>
      </c>
      <c r="J178" t="s">
        <v>16</v>
      </c>
      <c r="K178" t="s">
        <v>154</v>
      </c>
    </row>
    <row r="179" spans="1:11" x14ac:dyDescent="0.25">
      <c r="A179" t="s">
        <v>171</v>
      </c>
      <c r="B179" t="s">
        <v>12</v>
      </c>
      <c r="C179" t="s">
        <v>153</v>
      </c>
      <c r="D179" t="s">
        <v>20</v>
      </c>
      <c r="E179" t="s">
        <v>26</v>
      </c>
      <c r="F179" t="s">
        <v>14</v>
      </c>
      <c r="G179">
        <v>2494</v>
      </c>
      <c r="H179" s="1">
        <v>59.9</v>
      </c>
      <c r="I179" s="2">
        <v>149390.6</v>
      </c>
      <c r="J179" t="s">
        <v>16</v>
      </c>
      <c r="K179" t="s">
        <v>154</v>
      </c>
    </row>
    <row r="180" spans="1:11" x14ac:dyDescent="0.25">
      <c r="A180" t="s">
        <v>172</v>
      </c>
      <c r="B180" t="s">
        <v>12</v>
      </c>
      <c r="C180" t="s">
        <v>153</v>
      </c>
      <c r="D180" t="s">
        <v>14</v>
      </c>
      <c r="E180" t="s">
        <v>26</v>
      </c>
      <c r="F180" t="s">
        <v>14</v>
      </c>
      <c r="G180">
        <v>2141</v>
      </c>
      <c r="H180" s="1">
        <v>49.9</v>
      </c>
      <c r="I180" s="2">
        <v>106835.9</v>
      </c>
      <c r="J180" t="s">
        <v>16</v>
      </c>
      <c r="K180" t="s">
        <v>154</v>
      </c>
    </row>
    <row r="181" spans="1:11" x14ac:dyDescent="0.25">
      <c r="A181" t="s">
        <v>173</v>
      </c>
      <c r="B181" t="s">
        <v>12</v>
      </c>
      <c r="C181" t="s">
        <v>153</v>
      </c>
      <c r="D181" t="s">
        <v>14</v>
      </c>
      <c r="E181" t="s">
        <v>21</v>
      </c>
      <c r="F181" t="s">
        <v>20</v>
      </c>
      <c r="G181">
        <v>2835</v>
      </c>
      <c r="H181" s="1">
        <v>39.9</v>
      </c>
      <c r="I181" s="2">
        <v>113116.5</v>
      </c>
      <c r="J181" t="s">
        <v>16</v>
      </c>
      <c r="K181" t="s">
        <v>154</v>
      </c>
    </row>
    <row r="182" spans="1:11" x14ac:dyDescent="0.25">
      <c r="A182" t="s">
        <v>174</v>
      </c>
      <c r="B182" t="s">
        <v>12</v>
      </c>
      <c r="C182" t="s">
        <v>153</v>
      </c>
      <c r="D182" t="s">
        <v>14</v>
      </c>
      <c r="E182" t="s">
        <v>21</v>
      </c>
      <c r="F182" t="s">
        <v>14</v>
      </c>
      <c r="G182">
        <v>622</v>
      </c>
      <c r="H182" s="1">
        <v>49.9</v>
      </c>
      <c r="I182" s="2">
        <v>31037.8</v>
      </c>
      <c r="J182" t="s">
        <v>16</v>
      </c>
      <c r="K182" t="s">
        <v>154</v>
      </c>
    </row>
    <row r="183" spans="1:11" x14ac:dyDescent="0.25">
      <c r="A183" t="s">
        <v>175</v>
      </c>
      <c r="B183" t="s">
        <v>12</v>
      </c>
      <c r="C183" t="s">
        <v>153</v>
      </c>
      <c r="D183" t="s">
        <v>20</v>
      </c>
      <c r="E183" t="s">
        <v>21</v>
      </c>
      <c r="F183" t="s">
        <v>20</v>
      </c>
      <c r="G183">
        <v>2901</v>
      </c>
      <c r="H183" s="1">
        <v>47.9</v>
      </c>
      <c r="I183" s="2">
        <v>138957.9</v>
      </c>
      <c r="J183" t="s">
        <v>16</v>
      </c>
      <c r="K183" t="s">
        <v>154</v>
      </c>
    </row>
    <row r="184" spans="1:11" x14ac:dyDescent="0.25">
      <c r="A184" t="s">
        <v>176</v>
      </c>
      <c r="B184" t="s">
        <v>12</v>
      </c>
      <c r="C184" t="s">
        <v>153</v>
      </c>
      <c r="D184" t="s">
        <v>14</v>
      </c>
      <c r="E184" t="s">
        <v>21</v>
      </c>
      <c r="F184" t="s">
        <v>14</v>
      </c>
      <c r="G184">
        <v>867</v>
      </c>
      <c r="H184" s="1">
        <v>45.9</v>
      </c>
      <c r="I184" s="2">
        <v>39795.300000000003</v>
      </c>
      <c r="J184" t="s">
        <v>16</v>
      </c>
      <c r="K184" t="s">
        <v>154</v>
      </c>
    </row>
    <row r="185" spans="1:11" x14ac:dyDescent="0.25">
      <c r="A185" t="s">
        <v>177</v>
      </c>
      <c r="B185" t="s">
        <v>12</v>
      </c>
      <c r="C185" t="s">
        <v>153</v>
      </c>
      <c r="D185" t="s">
        <v>20</v>
      </c>
      <c r="E185" t="s">
        <v>26</v>
      </c>
      <c r="F185" t="s">
        <v>20</v>
      </c>
      <c r="G185">
        <v>2434</v>
      </c>
      <c r="H185" s="1">
        <v>35.9</v>
      </c>
      <c r="I185" s="2">
        <v>87380.6</v>
      </c>
      <c r="J185" t="s">
        <v>16</v>
      </c>
      <c r="K185" t="s">
        <v>154</v>
      </c>
    </row>
    <row r="186" spans="1:11" x14ac:dyDescent="0.25">
      <c r="A186" t="s">
        <v>178</v>
      </c>
      <c r="B186" t="s">
        <v>12</v>
      </c>
      <c r="C186" t="s">
        <v>153</v>
      </c>
      <c r="D186" t="s">
        <v>20</v>
      </c>
      <c r="E186" t="s">
        <v>21</v>
      </c>
      <c r="F186" t="s">
        <v>20</v>
      </c>
      <c r="G186">
        <v>2606</v>
      </c>
      <c r="H186" s="1">
        <v>59.9</v>
      </c>
      <c r="I186" s="2">
        <v>156099.4</v>
      </c>
      <c r="J186" t="s">
        <v>16</v>
      </c>
      <c r="K186" t="s">
        <v>154</v>
      </c>
    </row>
    <row r="187" spans="1:11" x14ac:dyDescent="0.25">
      <c r="A187" t="s">
        <v>179</v>
      </c>
      <c r="B187" t="s">
        <v>12</v>
      </c>
      <c r="C187" t="s">
        <v>153</v>
      </c>
      <c r="D187" t="s">
        <v>14</v>
      </c>
      <c r="E187" t="s">
        <v>15</v>
      </c>
      <c r="F187" t="s">
        <v>20</v>
      </c>
      <c r="G187">
        <v>2728</v>
      </c>
      <c r="H187" s="1">
        <v>47.9</v>
      </c>
      <c r="I187" s="2">
        <v>130671.2</v>
      </c>
      <c r="J187" t="s">
        <v>16</v>
      </c>
      <c r="K187" t="s">
        <v>154</v>
      </c>
    </row>
    <row r="188" spans="1:11" x14ac:dyDescent="0.25">
      <c r="A188" t="s">
        <v>180</v>
      </c>
      <c r="B188" t="s">
        <v>12</v>
      </c>
      <c r="C188" t="s">
        <v>153</v>
      </c>
      <c r="D188" t="s">
        <v>20</v>
      </c>
      <c r="E188" t="s">
        <v>26</v>
      </c>
      <c r="F188" t="s">
        <v>20</v>
      </c>
      <c r="G188">
        <v>2778</v>
      </c>
      <c r="H188" s="1">
        <v>27.9</v>
      </c>
      <c r="I188" s="2">
        <v>77506.2</v>
      </c>
      <c r="J188" t="s">
        <v>16</v>
      </c>
      <c r="K188" t="s">
        <v>154</v>
      </c>
    </row>
    <row r="189" spans="1:11" x14ac:dyDescent="0.25">
      <c r="A189" t="s">
        <v>181</v>
      </c>
      <c r="B189" t="s">
        <v>12</v>
      </c>
      <c r="C189" t="s">
        <v>153</v>
      </c>
      <c r="D189" t="s">
        <v>20</v>
      </c>
      <c r="E189" t="s">
        <v>15</v>
      </c>
      <c r="F189" t="s">
        <v>20</v>
      </c>
      <c r="G189">
        <v>558</v>
      </c>
      <c r="H189" s="1">
        <v>47.9</v>
      </c>
      <c r="I189" s="2">
        <v>26728.2</v>
      </c>
      <c r="J189" t="s">
        <v>16</v>
      </c>
      <c r="K189" t="s">
        <v>154</v>
      </c>
    </row>
    <row r="190" spans="1:11" x14ac:dyDescent="0.25">
      <c r="A190" t="s">
        <v>182</v>
      </c>
      <c r="B190" t="s">
        <v>12</v>
      </c>
      <c r="C190" t="s">
        <v>153</v>
      </c>
      <c r="D190" t="s">
        <v>20</v>
      </c>
      <c r="E190" t="s">
        <v>15</v>
      </c>
      <c r="F190" t="s">
        <v>20</v>
      </c>
      <c r="G190">
        <v>1752</v>
      </c>
      <c r="H190" s="1">
        <v>47.9</v>
      </c>
      <c r="I190" s="2">
        <v>83920.8</v>
      </c>
      <c r="J190" t="s">
        <v>16</v>
      </c>
      <c r="K190" t="s">
        <v>154</v>
      </c>
    </row>
    <row r="191" spans="1:11" x14ac:dyDescent="0.25">
      <c r="A191" t="s">
        <v>183</v>
      </c>
      <c r="B191" t="s">
        <v>12</v>
      </c>
      <c r="C191" t="s">
        <v>153</v>
      </c>
      <c r="D191" t="s">
        <v>14</v>
      </c>
      <c r="E191" t="s">
        <v>26</v>
      </c>
      <c r="F191" t="s">
        <v>20</v>
      </c>
      <c r="G191">
        <v>2743</v>
      </c>
      <c r="H191" s="1">
        <v>7.99</v>
      </c>
      <c r="I191" s="2">
        <v>21916.57</v>
      </c>
      <c r="J191" t="s">
        <v>16</v>
      </c>
      <c r="K191" t="s">
        <v>154</v>
      </c>
    </row>
    <row r="192" spans="1:11" x14ac:dyDescent="0.25">
      <c r="A192" t="s">
        <v>184</v>
      </c>
      <c r="B192" t="s">
        <v>12</v>
      </c>
      <c r="C192" t="s">
        <v>153</v>
      </c>
      <c r="D192" t="s">
        <v>14</v>
      </c>
      <c r="E192" t="s">
        <v>21</v>
      </c>
      <c r="F192" t="s">
        <v>20</v>
      </c>
      <c r="G192">
        <v>1669</v>
      </c>
      <c r="H192" s="1">
        <v>45.9</v>
      </c>
      <c r="I192" s="2">
        <v>76607.100000000006</v>
      </c>
      <c r="J192" t="s">
        <v>16</v>
      </c>
      <c r="K192" t="s">
        <v>154</v>
      </c>
    </row>
    <row r="193" spans="1:11" x14ac:dyDescent="0.25">
      <c r="A193" t="s">
        <v>185</v>
      </c>
      <c r="B193" t="s">
        <v>12</v>
      </c>
      <c r="C193" t="s">
        <v>153</v>
      </c>
      <c r="D193" t="s">
        <v>14</v>
      </c>
      <c r="E193" t="s">
        <v>26</v>
      </c>
      <c r="F193" t="s">
        <v>14</v>
      </c>
      <c r="G193">
        <v>2179</v>
      </c>
      <c r="H193" s="1">
        <v>45.9</v>
      </c>
      <c r="I193" s="2">
        <v>100016.1</v>
      </c>
      <c r="J193" t="s">
        <v>16</v>
      </c>
      <c r="K193" t="s">
        <v>154</v>
      </c>
    </row>
    <row r="194" spans="1:11" x14ac:dyDescent="0.25">
      <c r="A194" t="s">
        <v>186</v>
      </c>
      <c r="B194" t="s">
        <v>12</v>
      </c>
      <c r="C194" t="s">
        <v>153</v>
      </c>
      <c r="D194" t="s">
        <v>20</v>
      </c>
      <c r="E194" t="s">
        <v>26</v>
      </c>
      <c r="F194" t="s">
        <v>14</v>
      </c>
      <c r="G194">
        <v>606</v>
      </c>
      <c r="H194" s="1">
        <v>49.9</v>
      </c>
      <c r="I194" s="2">
        <v>30239.4</v>
      </c>
      <c r="J194" t="s">
        <v>16</v>
      </c>
      <c r="K194" t="s">
        <v>154</v>
      </c>
    </row>
    <row r="195" spans="1:11" x14ac:dyDescent="0.25">
      <c r="A195" t="s">
        <v>187</v>
      </c>
      <c r="B195" t="s">
        <v>12</v>
      </c>
      <c r="C195" t="s">
        <v>153</v>
      </c>
      <c r="D195" t="s">
        <v>14</v>
      </c>
      <c r="E195" t="s">
        <v>21</v>
      </c>
      <c r="F195" t="s">
        <v>20</v>
      </c>
      <c r="G195">
        <v>1608</v>
      </c>
      <c r="H195" s="1">
        <v>45.9</v>
      </c>
      <c r="I195" s="2">
        <v>73807.199999999997</v>
      </c>
      <c r="J195" t="s">
        <v>16</v>
      </c>
      <c r="K195" t="s">
        <v>154</v>
      </c>
    </row>
    <row r="196" spans="1:11" x14ac:dyDescent="0.25">
      <c r="A196" t="s">
        <v>188</v>
      </c>
      <c r="B196" t="s">
        <v>12</v>
      </c>
      <c r="C196" t="s">
        <v>13</v>
      </c>
      <c r="D196" t="s">
        <v>14</v>
      </c>
      <c r="E196" t="s">
        <v>15</v>
      </c>
      <c r="F196" t="s">
        <v>20</v>
      </c>
      <c r="G196">
        <v>880</v>
      </c>
      <c r="H196" s="1">
        <v>69.900000000000006</v>
      </c>
      <c r="I196" s="2">
        <v>61512</v>
      </c>
      <c r="J196" t="s">
        <v>16</v>
      </c>
      <c r="K196" t="s">
        <v>17</v>
      </c>
    </row>
    <row r="197" spans="1:11" x14ac:dyDescent="0.25">
      <c r="A197" t="s">
        <v>189</v>
      </c>
      <c r="B197" t="s">
        <v>12</v>
      </c>
      <c r="C197" t="s">
        <v>13</v>
      </c>
      <c r="D197" t="s">
        <v>14</v>
      </c>
      <c r="E197" t="s">
        <v>15</v>
      </c>
      <c r="F197" t="s">
        <v>14</v>
      </c>
      <c r="G197">
        <v>943</v>
      </c>
      <c r="H197" s="1">
        <v>69.900000000000006</v>
      </c>
      <c r="I197" s="2">
        <v>65915.7</v>
      </c>
      <c r="J197" t="s">
        <v>16</v>
      </c>
      <c r="K197" t="s">
        <v>17</v>
      </c>
    </row>
    <row r="198" spans="1:11" x14ac:dyDescent="0.25">
      <c r="A198" t="s">
        <v>109</v>
      </c>
      <c r="B198" t="s">
        <v>12</v>
      </c>
      <c r="C198" t="s">
        <v>13</v>
      </c>
      <c r="D198" t="s">
        <v>20</v>
      </c>
      <c r="E198" t="s">
        <v>15</v>
      </c>
      <c r="F198" t="s">
        <v>20</v>
      </c>
      <c r="G198">
        <v>1049</v>
      </c>
      <c r="H198" s="1">
        <v>89.9</v>
      </c>
      <c r="I198" s="2">
        <v>94305.1</v>
      </c>
      <c r="J198" t="s">
        <v>16</v>
      </c>
      <c r="K198" t="s">
        <v>17</v>
      </c>
    </row>
    <row r="199" spans="1:11" x14ac:dyDescent="0.25">
      <c r="A199" t="s">
        <v>190</v>
      </c>
      <c r="B199" t="s">
        <v>12</v>
      </c>
      <c r="C199" t="s">
        <v>191</v>
      </c>
      <c r="D199" t="s">
        <v>14</v>
      </c>
      <c r="E199" t="s">
        <v>26</v>
      </c>
      <c r="F199" t="s">
        <v>14</v>
      </c>
      <c r="G199">
        <v>2084</v>
      </c>
      <c r="H199" s="1">
        <v>69.900000000000006</v>
      </c>
      <c r="I199" s="2">
        <v>145671.6</v>
      </c>
      <c r="J199" t="s">
        <v>16</v>
      </c>
      <c r="K199" t="s">
        <v>17</v>
      </c>
    </row>
    <row r="200" spans="1:11" x14ac:dyDescent="0.25">
      <c r="A200" t="s">
        <v>192</v>
      </c>
      <c r="B200" t="s">
        <v>12</v>
      </c>
      <c r="C200" t="s">
        <v>191</v>
      </c>
      <c r="D200" t="s">
        <v>14</v>
      </c>
      <c r="E200" t="s">
        <v>21</v>
      </c>
      <c r="F200" t="s">
        <v>14</v>
      </c>
      <c r="G200">
        <v>1563</v>
      </c>
      <c r="H200" s="1">
        <v>59.9</v>
      </c>
      <c r="I200" s="2">
        <v>93623.7</v>
      </c>
      <c r="J200" t="s">
        <v>16</v>
      </c>
      <c r="K200" t="s">
        <v>17</v>
      </c>
    </row>
    <row r="201" spans="1:11" x14ac:dyDescent="0.25">
      <c r="A201" t="s">
        <v>193</v>
      </c>
      <c r="B201" t="s">
        <v>12</v>
      </c>
      <c r="C201" t="s">
        <v>191</v>
      </c>
      <c r="D201" t="s">
        <v>20</v>
      </c>
      <c r="E201" t="s">
        <v>21</v>
      </c>
      <c r="F201" t="s">
        <v>20</v>
      </c>
      <c r="G201">
        <v>1558</v>
      </c>
      <c r="H201" s="1">
        <v>69.900000000000006</v>
      </c>
      <c r="I201" s="2">
        <v>108904.2</v>
      </c>
      <c r="J201" t="s">
        <v>16</v>
      </c>
      <c r="K201" t="s">
        <v>17</v>
      </c>
    </row>
    <row r="202" spans="1:11" x14ac:dyDescent="0.25">
      <c r="A202" t="s">
        <v>193</v>
      </c>
      <c r="B202" t="s">
        <v>12</v>
      </c>
      <c r="C202" t="s">
        <v>191</v>
      </c>
      <c r="D202" t="s">
        <v>14</v>
      </c>
      <c r="E202" t="s">
        <v>21</v>
      </c>
      <c r="F202" t="s">
        <v>14</v>
      </c>
      <c r="G202">
        <v>1426</v>
      </c>
      <c r="H202" s="1">
        <v>69.900000000000006</v>
      </c>
      <c r="I202" s="2">
        <v>99677.4</v>
      </c>
      <c r="J202" t="s">
        <v>16</v>
      </c>
      <c r="K202" t="s">
        <v>17</v>
      </c>
    </row>
    <row r="203" spans="1:11" x14ac:dyDescent="0.25">
      <c r="A203" t="s">
        <v>194</v>
      </c>
      <c r="B203" t="s">
        <v>12</v>
      </c>
      <c r="C203" t="s">
        <v>191</v>
      </c>
      <c r="D203" t="s">
        <v>20</v>
      </c>
      <c r="E203" t="s">
        <v>26</v>
      </c>
      <c r="F203" t="s">
        <v>20</v>
      </c>
      <c r="G203">
        <v>1466</v>
      </c>
      <c r="H203" s="1">
        <v>109</v>
      </c>
      <c r="I203" s="2">
        <v>159794</v>
      </c>
      <c r="J203" t="s">
        <v>16</v>
      </c>
      <c r="K203" t="s">
        <v>17</v>
      </c>
    </row>
    <row r="204" spans="1:11" x14ac:dyDescent="0.25">
      <c r="A204" t="s">
        <v>195</v>
      </c>
      <c r="B204" t="s">
        <v>12</v>
      </c>
      <c r="C204" t="s">
        <v>191</v>
      </c>
      <c r="D204" t="s">
        <v>14</v>
      </c>
      <c r="E204" t="s">
        <v>21</v>
      </c>
      <c r="F204" t="s">
        <v>20</v>
      </c>
      <c r="G204">
        <v>624</v>
      </c>
      <c r="H204" s="1">
        <v>49.9</v>
      </c>
      <c r="I204" s="2">
        <v>31137.599999999999</v>
      </c>
      <c r="J204" t="s">
        <v>16</v>
      </c>
      <c r="K204" t="s">
        <v>17</v>
      </c>
    </row>
    <row r="205" spans="1:11" x14ac:dyDescent="0.25">
      <c r="A205" t="s">
        <v>196</v>
      </c>
      <c r="B205" t="s">
        <v>12</v>
      </c>
      <c r="C205" t="s">
        <v>191</v>
      </c>
      <c r="D205" t="s">
        <v>20</v>
      </c>
      <c r="E205" t="s">
        <v>15</v>
      </c>
      <c r="F205" t="s">
        <v>14</v>
      </c>
      <c r="G205">
        <v>1685</v>
      </c>
      <c r="H205" s="1">
        <v>12.99</v>
      </c>
      <c r="I205" s="2">
        <v>21888.15</v>
      </c>
      <c r="J205" t="s">
        <v>16</v>
      </c>
      <c r="K205" t="s">
        <v>17</v>
      </c>
    </row>
    <row r="206" spans="1:11" x14ac:dyDescent="0.25">
      <c r="A206" t="s">
        <v>197</v>
      </c>
      <c r="B206" t="s">
        <v>12</v>
      </c>
      <c r="C206" t="s">
        <v>191</v>
      </c>
      <c r="D206" t="s">
        <v>14</v>
      </c>
      <c r="E206" t="s">
        <v>15</v>
      </c>
      <c r="F206" t="s">
        <v>14</v>
      </c>
      <c r="G206">
        <v>2914</v>
      </c>
      <c r="H206" s="1">
        <v>69.900000000000006</v>
      </c>
      <c r="I206" s="2">
        <v>203688.6</v>
      </c>
      <c r="J206" t="s">
        <v>16</v>
      </c>
      <c r="K206" t="s">
        <v>17</v>
      </c>
    </row>
    <row r="207" spans="1:11" x14ac:dyDescent="0.25">
      <c r="A207" t="s">
        <v>198</v>
      </c>
      <c r="B207" t="s">
        <v>12</v>
      </c>
      <c r="C207" t="s">
        <v>153</v>
      </c>
      <c r="D207" t="s">
        <v>14</v>
      </c>
      <c r="E207" t="s">
        <v>15</v>
      </c>
      <c r="F207" t="s">
        <v>20</v>
      </c>
      <c r="G207">
        <v>1524</v>
      </c>
      <c r="H207" s="1">
        <v>69.900000000000006</v>
      </c>
      <c r="I207" s="2">
        <v>106527.6</v>
      </c>
      <c r="J207" t="s">
        <v>16</v>
      </c>
      <c r="K207" t="s">
        <v>17</v>
      </c>
    </row>
    <row r="208" spans="1:11" x14ac:dyDescent="0.25">
      <c r="A208" t="s">
        <v>199</v>
      </c>
      <c r="B208" t="s">
        <v>12</v>
      </c>
      <c r="C208" t="s">
        <v>153</v>
      </c>
      <c r="D208" t="s">
        <v>14</v>
      </c>
      <c r="E208" t="s">
        <v>21</v>
      </c>
      <c r="F208" t="s">
        <v>20</v>
      </c>
      <c r="G208">
        <v>2887</v>
      </c>
      <c r="H208" s="1">
        <v>12.99</v>
      </c>
      <c r="I208" s="2">
        <v>37502.129999999997</v>
      </c>
      <c r="J208" t="s">
        <v>16</v>
      </c>
      <c r="K208" t="s">
        <v>17</v>
      </c>
    </row>
    <row r="209" spans="1:11" x14ac:dyDescent="0.25">
      <c r="A209" t="s">
        <v>200</v>
      </c>
      <c r="B209" t="s">
        <v>12</v>
      </c>
      <c r="C209" t="s">
        <v>153</v>
      </c>
      <c r="D209" t="s">
        <v>20</v>
      </c>
      <c r="E209" t="s">
        <v>21</v>
      </c>
      <c r="F209" t="s">
        <v>20</v>
      </c>
      <c r="G209">
        <v>1778</v>
      </c>
      <c r="H209" s="1">
        <v>69.900000000000006</v>
      </c>
      <c r="I209" s="2">
        <v>124282.2</v>
      </c>
      <c r="J209" t="s">
        <v>16</v>
      </c>
      <c r="K209" t="s">
        <v>17</v>
      </c>
    </row>
    <row r="210" spans="1:11" x14ac:dyDescent="0.25">
      <c r="A210" t="s">
        <v>201</v>
      </c>
      <c r="B210" t="s">
        <v>12</v>
      </c>
      <c r="C210" t="s">
        <v>153</v>
      </c>
      <c r="D210" t="s">
        <v>14</v>
      </c>
      <c r="E210" t="s">
        <v>21</v>
      </c>
      <c r="F210" t="s">
        <v>20</v>
      </c>
      <c r="G210">
        <v>1278</v>
      </c>
      <c r="H210" s="1">
        <v>59.9</v>
      </c>
      <c r="I210" s="2">
        <v>76552.2</v>
      </c>
      <c r="J210" t="s">
        <v>16</v>
      </c>
      <c r="K210" t="s">
        <v>17</v>
      </c>
    </row>
    <row r="211" spans="1:11" x14ac:dyDescent="0.25">
      <c r="A211" t="s">
        <v>202</v>
      </c>
      <c r="B211" t="s">
        <v>12</v>
      </c>
      <c r="C211" t="s">
        <v>153</v>
      </c>
      <c r="D211" t="s">
        <v>14</v>
      </c>
      <c r="E211" t="s">
        <v>26</v>
      </c>
      <c r="F211" t="s">
        <v>20</v>
      </c>
      <c r="G211">
        <v>529</v>
      </c>
      <c r="H211" s="1">
        <v>59.9</v>
      </c>
      <c r="I211" s="2">
        <v>31687.1</v>
      </c>
      <c r="J211" t="s">
        <v>16</v>
      </c>
      <c r="K211" t="s">
        <v>17</v>
      </c>
    </row>
    <row r="212" spans="1:11" x14ac:dyDescent="0.25">
      <c r="A212" t="s">
        <v>203</v>
      </c>
      <c r="B212" t="s">
        <v>12</v>
      </c>
      <c r="C212" t="s">
        <v>204</v>
      </c>
      <c r="D212" t="s">
        <v>20</v>
      </c>
      <c r="E212" t="s">
        <v>15</v>
      </c>
      <c r="F212" t="s">
        <v>20</v>
      </c>
      <c r="G212">
        <v>1180</v>
      </c>
      <c r="H212" s="1">
        <v>19.899999999999999</v>
      </c>
      <c r="I212" s="2">
        <v>23482</v>
      </c>
      <c r="J212" t="s">
        <v>16</v>
      </c>
      <c r="K212" t="s">
        <v>17</v>
      </c>
    </row>
    <row r="213" spans="1:11" x14ac:dyDescent="0.25">
      <c r="A213" t="s">
        <v>205</v>
      </c>
      <c r="B213" t="s">
        <v>12</v>
      </c>
      <c r="C213" t="s">
        <v>204</v>
      </c>
      <c r="D213" t="s">
        <v>14</v>
      </c>
      <c r="E213" t="s">
        <v>15</v>
      </c>
      <c r="F213" t="s">
        <v>14</v>
      </c>
      <c r="G213">
        <v>2759</v>
      </c>
      <c r="H213" s="1">
        <v>39.9</v>
      </c>
      <c r="I213" s="2">
        <v>110084.1</v>
      </c>
      <c r="J213" t="s">
        <v>16</v>
      </c>
      <c r="K213" t="s">
        <v>17</v>
      </c>
    </row>
    <row r="214" spans="1:11" x14ac:dyDescent="0.25">
      <c r="A214" t="s">
        <v>206</v>
      </c>
      <c r="B214" t="s">
        <v>12</v>
      </c>
      <c r="C214" t="s">
        <v>204</v>
      </c>
      <c r="D214" t="s">
        <v>14</v>
      </c>
      <c r="E214" t="s">
        <v>15</v>
      </c>
      <c r="F214" t="s">
        <v>20</v>
      </c>
      <c r="G214">
        <v>1831</v>
      </c>
      <c r="H214" s="1">
        <v>29.9</v>
      </c>
      <c r="I214" s="2">
        <v>54746.9</v>
      </c>
      <c r="J214" t="s">
        <v>16</v>
      </c>
      <c r="K214" t="s">
        <v>17</v>
      </c>
    </row>
    <row r="215" spans="1:11" x14ac:dyDescent="0.25">
      <c r="A215" t="s">
        <v>207</v>
      </c>
      <c r="B215" t="s">
        <v>12</v>
      </c>
      <c r="C215" t="s">
        <v>204</v>
      </c>
      <c r="D215" t="s">
        <v>14</v>
      </c>
      <c r="E215" t="s">
        <v>21</v>
      </c>
      <c r="F215" t="s">
        <v>14</v>
      </c>
      <c r="G215">
        <v>1866</v>
      </c>
      <c r="H215" s="1">
        <v>39.9</v>
      </c>
      <c r="I215" s="2">
        <v>74453.399999999994</v>
      </c>
      <c r="J215" t="s">
        <v>16</v>
      </c>
      <c r="K215" t="s">
        <v>17</v>
      </c>
    </row>
    <row r="216" spans="1:11" x14ac:dyDescent="0.25">
      <c r="A216" t="s">
        <v>208</v>
      </c>
      <c r="B216" t="s">
        <v>12</v>
      </c>
      <c r="C216" t="s">
        <v>204</v>
      </c>
      <c r="D216" t="s">
        <v>20</v>
      </c>
      <c r="E216" t="s">
        <v>21</v>
      </c>
      <c r="F216" t="s">
        <v>14</v>
      </c>
      <c r="G216">
        <v>1553</v>
      </c>
      <c r="H216" s="1">
        <v>39.9</v>
      </c>
      <c r="I216" s="2">
        <v>61964.7</v>
      </c>
      <c r="J216" t="s">
        <v>16</v>
      </c>
      <c r="K216" t="s">
        <v>17</v>
      </c>
    </row>
    <row r="217" spans="1:11" x14ac:dyDescent="0.25">
      <c r="A217" t="s">
        <v>209</v>
      </c>
      <c r="B217" t="s">
        <v>12</v>
      </c>
      <c r="C217" t="s">
        <v>204</v>
      </c>
      <c r="D217" t="s">
        <v>20</v>
      </c>
      <c r="E217" t="s">
        <v>21</v>
      </c>
      <c r="F217" t="s">
        <v>14</v>
      </c>
      <c r="G217">
        <v>917</v>
      </c>
      <c r="H217" s="1">
        <v>39.9</v>
      </c>
      <c r="I217" s="2">
        <v>36588.300000000003</v>
      </c>
      <c r="J217" t="s">
        <v>16</v>
      </c>
      <c r="K217" t="s">
        <v>17</v>
      </c>
    </row>
    <row r="218" spans="1:11" x14ac:dyDescent="0.25">
      <c r="A218" t="s">
        <v>210</v>
      </c>
      <c r="B218" t="s">
        <v>12</v>
      </c>
      <c r="C218" t="s">
        <v>204</v>
      </c>
      <c r="D218" t="s">
        <v>14</v>
      </c>
      <c r="E218" t="s">
        <v>21</v>
      </c>
      <c r="F218" t="s">
        <v>14</v>
      </c>
      <c r="G218">
        <v>702</v>
      </c>
      <c r="H218" s="1">
        <v>49.9</v>
      </c>
      <c r="I218" s="2">
        <v>35029.800000000003</v>
      </c>
      <c r="J218" t="s">
        <v>16</v>
      </c>
      <c r="K218" t="s">
        <v>17</v>
      </c>
    </row>
    <row r="219" spans="1:11" x14ac:dyDescent="0.25">
      <c r="A219" t="s">
        <v>211</v>
      </c>
      <c r="B219" t="s">
        <v>12</v>
      </c>
      <c r="C219" t="s">
        <v>204</v>
      </c>
      <c r="D219" t="s">
        <v>20</v>
      </c>
      <c r="E219" t="s">
        <v>15</v>
      </c>
      <c r="F219" t="s">
        <v>14</v>
      </c>
      <c r="G219">
        <v>1978</v>
      </c>
      <c r="H219" s="1">
        <v>39.9</v>
      </c>
      <c r="I219" s="2">
        <v>78922.2</v>
      </c>
      <c r="J219" t="s">
        <v>16</v>
      </c>
      <c r="K219" t="s">
        <v>17</v>
      </c>
    </row>
    <row r="220" spans="1:11" x14ac:dyDescent="0.25">
      <c r="A220" t="s">
        <v>212</v>
      </c>
      <c r="B220" t="s">
        <v>12</v>
      </c>
      <c r="C220" t="s">
        <v>204</v>
      </c>
      <c r="D220" t="s">
        <v>14</v>
      </c>
      <c r="E220" t="s">
        <v>26</v>
      </c>
      <c r="F220" t="s">
        <v>20</v>
      </c>
      <c r="G220">
        <v>1961</v>
      </c>
      <c r="H220" s="1">
        <v>27.9</v>
      </c>
      <c r="I220" s="2">
        <v>54711.9</v>
      </c>
      <c r="J220" t="s">
        <v>16</v>
      </c>
      <c r="K220" t="s">
        <v>17</v>
      </c>
    </row>
    <row r="221" spans="1:11" x14ac:dyDescent="0.25">
      <c r="A221" t="s">
        <v>213</v>
      </c>
      <c r="B221" t="s">
        <v>12</v>
      </c>
      <c r="C221" t="s">
        <v>204</v>
      </c>
      <c r="D221" t="s">
        <v>14</v>
      </c>
      <c r="E221" t="s">
        <v>15</v>
      </c>
      <c r="F221" t="s">
        <v>14</v>
      </c>
      <c r="G221">
        <v>1188</v>
      </c>
      <c r="H221" s="1">
        <v>45.9</v>
      </c>
      <c r="I221" s="2">
        <v>54529.2</v>
      </c>
      <c r="J221" t="s">
        <v>16</v>
      </c>
      <c r="K221" t="s">
        <v>17</v>
      </c>
    </row>
    <row r="222" spans="1:11" x14ac:dyDescent="0.25">
      <c r="A222" t="s">
        <v>214</v>
      </c>
      <c r="B222" t="s">
        <v>12</v>
      </c>
      <c r="C222" t="s">
        <v>204</v>
      </c>
      <c r="D222" t="s">
        <v>20</v>
      </c>
      <c r="E222" t="s">
        <v>15</v>
      </c>
      <c r="F222" t="s">
        <v>14</v>
      </c>
      <c r="G222">
        <v>996</v>
      </c>
      <c r="H222" s="1">
        <v>39.9</v>
      </c>
      <c r="I222" s="2">
        <v>39740.400000000001</v>
      </c>
      <c r="J222" t="s">
        <v>16</v>
      </c>
      <c r="K222" t="s">
        <v>17</v>
      </c>
    </row>
    <row r="223" spans="1:11" x14ac:dyDescent="0.25">
      <c r="A223" t="s">
        <v>215</v>
      </c>
      <c r="B223" t="s">
        <v>12</v>
      </c>
      <c r="C223" t="s">
        <v>204</v>
      </c>
      <c r="D223" t="s">
        <v>14</v>
      </c>
      <c r="E223" t="s">
        <v>15</v>
      </c>
      <c r="F223" t="s">
        <v>20</v>
      </c>
      <c r="G223">
        <v>1915</v>
      </c>
      <c r="H223" s="1">
        <v>39.9</v>
      </c>
      <c r="I223" s="2">
        <v>76408.5</v>
      </c>
      <c r="J223" t="s">
        <v>16</v>
      </c>
      <c r="K223" t="s">
        <v>17</v>
      </c>
    </row>
    <row r="224" spans="1:11" x14ac:dyDescent="0.25">
      <c r="A224" t="s">
        <v>210</v>
      </c>
      <c r="B224" t="s">
        <v>12</v>
      </c>
      <c r="C224" t="s">
        <v>204</v>
      </c>
      <c r="D224" t="s">
        <v>14</v>
      </c>
      <c r="E224" t="s">
        <v>21</v>
      </c>
      <c r="F224" t="s">
        <v>14</v>
      </c>
      <c r="G224">
        <v>903</v>
      </c>
      <c r="H224" s="1">
        <v>45.9</v>
      </c>
      <c r="I224" s="2">
        <v>41447.699999999997</v>
      </c>
      <c r="J224" t="s">
        <v>16</v>
      </c>
      <c r="K224" t="s">
        <v>17</v>
      </c>
    </row>
    <row r="225" spans="1:11" x14ac:dyDescent="0.25">
      <c r="A225" t="s">
        <v>216</v>
      </c>
      <c r="B225" t="s">
        <v>12</v>
      </c>
      <c r="C225" t="s">
        <v>204</v>
      </c>
      <c r="D225" t="s">
        <v>20</v>
      </c>
      <c r="E225" t="s">
        <v>15</v>
      </c>
      <c r="F225" t="s">
        <v>20</v>
      </c>
      <c r="G225">
        <v>729</v>
      </c>
      <c r="H225" s="1">
        <v>45.9</v>
      </c>
      <c r="I225" s="2">
        <v>33461.1</v>
      </c>
      <c r="J225" t="s">
        <v>16</v>
      </c>
      <c r="K225" t="s">
        <v>17</v>
      </c>
    </row>
    <row r="226" spans="1:11" x14ac:dyDescent="0.25">
      <c r="A226" t="s">
        <v>217</v>
      </c>
      <c r="B226" t="s">
        <v>12</v>
      </c>
      <c r="C226" t="s">
        <v>204</v>
      </c>
      <c r="D226" t="s">
        <v>14</v>
      </c>
      <c r="E226" t="s">
        <v>15</v>
      </c>
      <c r="F226" t="s">
        <v>20</v>
      </c>
      <c r="G226">
        <v>2045</v>
      </c>
      <c r="H226" s="1">
        <v>45.9</v>
      </c>
      <c r="I226" s="2">
        <v>93865.5</v>
      </c>
      <c r="J226" t="s">
        <v>16</v>
      </c>
      <c r="K226" t="s">
        <v>17</v>
      </c>
    </row>
    <row r="227" spans="1:11" x14ac:dyDescent="0.25">
      <c r="A227" t="s">
        <v>218</v>
      </c>
      <c r="B227" t="s">
        <v>12</v>
      </c>
      <c r="C227" t="s">
        <v>204</v>
      </c>
      <c r="D227" t="s">
        <v>20</v>
      </c>
      <c r="E227" t="s">
        <v>15</v>
      </c>
      <c r="F227" t="s">
        <v>14</v>
      </c>
      <c r="G227">
        <v>881</v>
      </c>
      <c r="H227" s="1">
        <v>39.9</v>
      </c>
      <c r="I227" s="2">
        <v>35151.9</v>
      </c>
      <c r="J227" t="s">
        <v>16</v>
      </c>
      <c r="K227" t="s">
        <v>17</v>
      </c>
    </row>
    <row r="228" spans="1:11" x14ac:dyDescent="0.25">
      <c r="A228" t="s">
        <v>219</v>
      </c>
      <c r="B228" t="s">
        <v>12</v>
      </c>
      <c r="C228" t="s">
        <v>204</v>
      </c>
      <c r="D228" t="s">
        <v>20</v>
      </c>
      <c r="E228" t="s">
        <v>21</v>
      </c>
      <c r="F228" t="s">
        <v>14</v>
      </c>
      <c r="G228">
        <v>2093</v>
      </c>
      <c r="H228" s="1">
        <v>39.9</v>
      </c>
      <c r="I228" s="2">
        <v>83510.7</v>
      </c>
      <c r="J228" t="s">
        <v>16</v>
      </c>
      <c r="K228" t="s">
        <v>17</v>
      </c>
    </row>
    <row r="229" spans="1:11" x14ac:dyDescent="0.25">
      <c r="A229" t="s">
        <v>213</v>
      </c>
      <c r="B229" t="s">
        <v>12</v>
      </c>
      <c r="C229" t="s">
        <v>204</v>
      </c>
      <c r="D229" t="s">
        <v>14</v>
      </c>
      <c r="E229" t="s">
        <v>21</v>
      </c>
      <c r="F229" t="s">
        <v>14</v>
      </c>
      <c r="G229">
        <v>2227</v>
      </c>
      <c r="H229" s="1">
        <v>45.9</v>
      </c>
      <c r="I229" s="2">
        <v>102219.3</v>
      </c>
      <c r="J229" t="s">
        <v>16</v>
      </c>
      <c r="K229" t="s">
        <v>17</v>
      </c>
    </row>
    <row r="230" spans="1:11" x14ac:dyDescent="0.25">
      <c r="A230" t="s">
        <v>30</v>
      </c>
      <c r="B230" t="s">
        <v>12</v>
      </c>
      <c r="C230" t="s">
        <v>124</v>
      </c>
      <c r="D230" t="s">
        <v>20</v>
      </c>
      <c r="E230" t="s">
        <v>15</v>
      </c>
      <c r="F230" t="s">
        <v>20</v>
      </c>
      <c r="G230">
        <v>994</v>
      </c>
      <c r="H230" s="1">
        <v>89.9</v>
      </c>
      <c r="I230" s="2">
        <v>89360.6</v>
      </c>
      <c r="J230" t="s">
        <v>16</v>
      </c>
      <c r="K230" t="s">
        <v>17</v>
      </c>
    </row>
    <row r="231" spans="1:11" x14ac:dyDescent="0.25">
      <c r="A231" t="s">
        <v>31</v>
      </c>
      <c r="B231" t="s">
        <v>12</v>
      </c>
      <c r="C231" t="s">
        <v>204</v>
      </c>
      <c r="D231" t="s">
        <v>14</v>
      </c>
      <c r="E231" t="s">
        <v>21</v>
      </c>
      <c r="F231" t="s">
        <v>14</v>
      </c>
      <c r="G231">
        <v>2634</v>
      </c>
      <c r="H231" s="1">
        <v>69.900000000000006</v>
      </c>
      <c r="I231" s="2">
        <v>184116.6</v>
      </c>
      <c r="J231" t="s">
        <v>16</v>
      </c>
      <c r="K231" t="s">
        <v>17</v>
      </c>
    </row>
    <row r="232" spans="1:11" x14ac:dyDescent="0.25">
      <c r="A232" t="s">
        <v>32</v>
      </c>
      <c r="B232" t="s">
        <v>12</v>
      </c>
      <c r="C232" t="s">
        <v>153</v>
      </c>
      <c r="D232" t="s">
        <v>14</v>
      </c>
      <c r="E232" t="s">
        <v>21</v>
      </c>
      <c r="F232" t="s">
        <v>20</v>
      </c>
      <c r="G232">
        <v>2732</v>
      </c>
      <c r="H232" s="1">
        <v>89.9</v>
      </c>
      <c r="I232" s="2">
        <v>245606.8</v>
      </c>
      <c r="J232" t="s">
        <v>16</v>
      </c>
      <c r="K232" t="s">
        <v>17</v>
      </c>
    </row>
    <row r="233" spans="1:11" x14ac:dyDescent="0.25">
      <c r="A233" t="s">
        <v>33</v>
      </c>
      <c r="B233" t="s">
        <v>12</v>
      </c>
      <c r="C233" t="s">
        <v>153</v>
      </c>
      <c r="D233" t="s">
        <v>14</v>
      </c>
      <c r="E233" t="s">
        <v>15</v>
      </c>
      <c r="F233" t="s">
        <v>20</v>
      </c>
      <c r="G233">
        <v>1140</v>
      </c>
      <c r="H233" s="1">
        <v>169</v>
      </c>
      <c r="I233" s="2">
        <v>192660</v>
      </c>
      <c r="J233" t="s">
        <v>16</v>
      </c>
      <c r="K233" t="s">
        <v>17</v>
      </c>
    </row>
    <row r="234" spans="1:11" x14ac:dyDescent="0.25">
      <c r="A234" t="s">
        <v>34</v>
      </c>
      <c r="B234" t="s">
        <v>12</v>
      </c>
      <c r="C234" t="s">
        <v>204</v>
      </c>
      <c r="D234" t="s">
        <v>14</v>
      </c>
      <c r="E234" t="s">
        <v>21</v>
      </c>
      <c r="F234" t="s">
        <v>20</v>
      </c>
      <c r="G234">
        <v>1008</v>
      </c>
      <c r="H234" s="1">
        <v>169</v>
      </c>
      <c r="I234" s="2">
        <v>170352</v>
      </c>
      <c r="J234" t="s">
        <v>16</v>
      </c>
      <c r="K234" t="s">
        <v>17</v>
      </c>
    </row>
    <row r="235" spans="1:11" x14ac:dyDescent="0.25">
      <c r="A235" t="s">
        <v>35</v>
      </c>
      <c r="B235" t="s">
        <v>12</v>
      </c>
      <c r="C235" t="s">
        <v>204</v>
      </c>
      <c r="D235" t="s">
        <v>14</v>
      </c>
      <c r="E235" t="s">
        <v>26</v>
      </c>
      <c r="F235" t="s">
        <v>14</v>
      </c>
      <c r="G235">
        <v>2685</v>
      </c>
      <c r="H235" s="1">
        <v>69.900000000000006</v>
      </c>
      <c r="I235" s="2">
        <v>187681.5</v>
      </c>
      <c r="J235" t="s">
        <v>16</v>
      </c>
      <c r="K235" t="s">
        <v>17</v>
      </c>
    </row>
    <row r="236" spans="1:11" x14ac:dyDescent="0.25">
      <c r="A236" t="s">
        <v>36</v>
      </c>
      <c r="B236" t="s">
        <v>12</v>
      </c>
      <c r="C236" t="s">
        <v>204</v>
      </c>
      <c r="D236" t="s">
        <v>20</v>
      </c>
      <c r="E236" t="s">
        <v>21</v>
      </c>
      <c r="F236" t="s">
        <v>20</v>
      </c>
      <c r="G236">
        <v>1145</v>
      </c>
      <c r="H236" s="1">
        <v>19.989999999999998</v>
      </c>
      <c r="I236" s="2">
        <v>22888.55</v>
      </c>
      <c r="J236" t="s">
        <v>16</v>
      </c>
      <c r="K236" t="s">
        <v>17</v>
      </c>
    </row>
    <row r="237" spans="1:11" x14ac:dyDescent="0.25">
      <c r="A237" t="s">
        <v>37</v>
      </c>
      <c r="B237" t="s">
        <v>12</v>
      </c>
      <c r="C237" t="s">
        <v>204</v>
      </c>
      <c r="D237" t="s">
        <v>20</v>
      </c>
      <c r="E237" t="s">
        <v>15</v>
      </c>
      <c r="F237" t="s">
        <v>14</v>
      </c>
      <c r="G237">
        <v>1791</v>
      </c>
      <c r="H237" s="1">
        <v>139</v>
      </c>
      <c r="I237" s="2">
        <v>248949</v>
      </c>
      <c r="J237" t="s">
        <v>16</v>
      </c>
      <c r="K237" t="s">
        <v>17</v>
      </c>
    </row>
    <row r="238" spans="1:11" x14ac:dyDescent="0.25">
      <c r="A238" t="s">
        <v>38</v>
      </c>
      <c r="B238" t="s">
        <v>12</v>
      </c>
      <c r="C238" t="s">
        <v>204</v>
      </c>
      <c r="D238" t="s">
        <v>20</v>
      </c>
      <c r="E238" t="s">
        <v>15</v>
      </c>
      <c r="F238" t="s">
        <v>14</v>
      </c>
      <c r="G238">
        <v>2849</v>
      </c>
      <c r="H238" s="1">
        <v>109</v>
      </c>
      <c r="I238" s="2">
        <v>310541</v>
      </c>
      <c r="J238" t="s">
        <v>16</v>
      </c>
      <c r="K238" t="s">
        <v>17</v>
      </c>
    </row>
    <row r="239" spans="1:11" x14ac:dyDescent="0.25">
      <c r="A239" t="s">
        <v>27</v>
      </c>
      <c r="B239" t="s">
        <v>12</v>
      </c>
      <c r="C239" t="s">
        <v>204</v>
      </c>
      <c r="D239" t="s">
        <v>14</v>
      </c>
      <c r="E239" t="s">
        <v>15</v>
      </c>
      <c r="F239" t="s">
        <v>20</v>
      </c>
      <c r="G239">
        <v>2985</v>
      </c>
      <c r="H239" s="1">
        <v>109</v>
      </c>
      <c r="I239" s="2">
        <v>325365</v>
      </c>
      <c r="J239" t="s">
        <v>16</v>
      </c>
      <c r="K239" t="s">
        <v>17</v>
      </c>
    </row>
    <row r="240" spans="1:11" x14ac:dyDescent="0.25">
      <c r="A240" t="s">
        <v>39</v>
      </c>
      <c r="B240" t="s">
        <v>12</v>
      </c>
      <c r="C240" t="s">
        <v>204</v>
      </c>
      <c r="D240" t="s">
        <v>14</v>
      </c>
      <c r="E240" t="s">
        <v>26</v>
      </c>
      <c r="F240" t="s">
        <v>14</v>
      </c>
      <c r="G240">
        <v>1603</v>
      </c>
      <c r="H240" s="1">
        <v>109</v>
      </c>
      <c r="I240" s="2">
        <v>174727</v>
      </c>
      <c r="J240" t="s">
        <v>16</v>
      </c>
      <c r="K240" t="s">
        <v>17</v>
      </c>
    </row>
    <row r="241" spans="1:11" x14ac:dyDescent="0.25">
      <c r="A241" t="s">
        <v>40</v>
      </c>
      <c r="B241" t="s">
        <v>12</v>
      </c>
      <c r="C241" t="s">
        <v>204</v>
      </c>
      <c r="D241" t="s">
        <v>20</v>
      </c>
      <c r="E241" t="s">
        <v>15</v>
      </c>
      <c r="F241" t="s">
        <v>14</v>
      </c>
      <c r="G241">
        <v>707</v>
      </c>
      <c r="H241" s="1">
        <v>109</v>
      </c>
      <c r="I241" s="2">
        <v>77063</v>
      </c>
      <c r="J241" t="s">
        <v>16</v>
      </c>
      <c r="K241" t="s">
        <v>17</v>
      </c>
    </row>
    <row r="242" spans="1:11" x14ac:dyDescent="0.25">
      <c r="A242" t="s">
        <v>41</v>
      </c>
      <c r="B242" t="s">
        <v>12</v>
      </c>
      <c r="C242" t="s">
        <v>204</v>
      </c>
      <c r="D242" t="s">
        <v>14</v>
      </c>
      <c r="E242" t="s">
        <v>15</v>
      </c>
      <c r="F242" t="s">
        <v>20</v>
      </c>
      <c r="G242">
        <v>1258</v>
      </c>
      <c r="H242" s="1">
        <v>99.9</v>
      </c>
      <c r="I242" s="2">
        <v>125674.2</v>
      </c>
      <c r="J242" t="s">
        <v>16</v>
      </c>
      <c r="K242" t="s">
        <v>17</v>
      </c>
    </row>
    <row r="243" spans="1:11" x14ac:dyDescent="0.25">
      <c r="A243" t="s">
        <v>42</v>
      </c>
      <c r="B243" t="s">
        <v>12</v>
      </c>
      <c r="C243" t="s">
        <v>204</v>
      </c>
      <c r="D243" t="s">
        <v>20</v>
      </c>
      <c r="E243" t="s">
        <v>26</v>
      </c>
      <c r="F243" t="s">
        <v>14</v>
      </c>
      <c r="G243">
        <v>2168</v>
      </c>
      <c r="H243" s="1">
        <v>89.9</v>
      </c>
      <c r="I243" s="2">
        <v>194903.2</v>
      </c>
      <c r="J243" t="s">
        <v>16</v>
      </c>
      <c r="K243" t="s">
        <v>17</v>
      </c>
    </row>
    <row r="244" spans="1:11" x14ac:dyDescent="0.25">
      <c r="A244" t="s">
        <v>43</v>
      </c>
      <c r="B244" t="s">
        <v>12</v>
      </c>
      <c r="C244" t="s">
        <v>204</v>
      </c>
      <c r="D244" t="s">
        <v>20</v>
      </c>
      <c r="E244" t="s">
        <v>21</v>
      </c>
      <c r="F244" t="s">
        <v>20</v>
      </c>
      <c r="G244">
        <v>1764</v>
      </c>
      <c r="H244" s="1">
        <v>69.900000000000006</v>
      </c>
      <c r="I244" s="2">
        <v>123303.6</v>
      </c>
      <c r="J244" t="s">
        <v>16</v>
      </c>
      <c r="K244" t="s">
        <v>17</v>
      </c>
    </row>
    <row r="245" spans="1:11" x14ac:dyDescent="0.25">
      <c r="A245" t="s">
        <v>44</v>
      </c>
      <c r="B245" t="s">
        <v>12</v>
      </c>
      <c r="C245" t="s">
        <v>204</v>
      </c>
      <c r="D245" t="s">
        <v>20</v>
      </c>
      <c r="E245" t="s">
        <v>21</v>
      </c>
      <c r="F245" t="s">
        <v>20</v>
      </c>
      <c r="G245">
        <v>2622</v>
      </c>
      <c r="H245" s="1">
        <v>139</v>
      </c>
      <c r="I245" s="2">
        <v>364458</v>
      </c>
      <c r="J245" t="s">
        <v>16</v>
      </c>
      <c r="K245" t="s">
        <v>17</v>
      </c>
    </row>
    <row r="246" spans="1:11" x14ac:dyDescent="0.25">
      <c r="A246" t="s">
        <v>45</v>
      </c>
      <c r="B246" t="s">
        <v>12</v>
      </c>
      <c r="C246" t="s">
        <v>204</v>
      </c>
      <c r="D246" t="s">
        <v>14</v>
      </c>
      <c r="E246" t="s">
        <v>15</v>
      </c>
      <c r="F246" t="s">
        <v>20</v>
      </c>
      <c r="G246">
        <v>694</v>
      </c>
      <c r="H246" s="1">
        <v>139</v>
      </c>
      <c r="I246" s="2">
        <v>96466</v>
      </c>
      <c r="J246" t="s">
        <v>16</v>
      </c>
      <c r="K246" t="s">
        <v>17</v>
      </c>
    </row>
    <row r="247" spans="1:11" x14ac:dyDescent="0.25">
      <c r="A247" t="s">
        <v>46</v>
      </c>
      <c r="B247" t="s">
        <v>12</v>
      </c>
      <c r="C247" t="s">
        <v>13</v>
      </c>
      <c r="D247" t="s">
        <v>20</v>
      </c>
      <c r="E247" t="s">
        <v>15</v>
      </c>
      <c r="F247" t="s">
        <v>20</v>
      </c>
      <c r="G247">
        <v>2187</v>
      </c>
      <c r="H247" s="1">
        <v>109</v>
      </c>
      <c r="I247" s="2">
        <v>238383</v>
      </c>
      <c r="J247" t="s">
        <v>16</v>
      </c>
      <c r="K247" t="s">
        <v>17</v>
      </c>
    </row>
    <row r="248" spans="1:11" x14ac:dyDescent="0.25">
      <c r="A248" t="s">
        <v>47</v>
      </c>
      <c r="B248" t="s">
        <v>12</v>
      </c>
      <c r="C248" t="s">
        <v>13</v>
      </c>
      <c r="D248" t="s">
        <v>14</v>
      </c>
      <c r="E248" t="s">
        <v>15</v>
      </c>
      <c r="F248" t="s">
        <v>20</v>
      </c>
      <c r="G248">
        <v>2973</v>
      </c>
      <c r="H248" s="1">
        <v>129</v>
      </c>
      <c r="I248" s="2">
        <v>383517</v>
      </c>
      <c r="J248" t="s">
        <v>16</v>
      </c>
      <c r="K248" t="s">
        <v>17</v>
      </c>
    </row>
    <row r="249" spans="1:11" x14ac:dyDescent="0.25">
      <c r="A249" t="s">
        <v>48</v>
      </c>
      <c r="B249" t="s">
        <v>12</v>
      </c>
      <c r="C249" t="s">
        <v>13</v>
      </c>
      <c r="D249" t="s">
        <v>20</v>
      </c>
      <c r="E249" t="s">
        <v>26</v>
      </c>
      <c r="F249" t="s">
        <v>14</v>
      </c>
      <c r="G249">
        <v>1014</v>
      </c>
      <c r="H249" s="1">
        <v>169</v>
      </c>
      <c r="I249" s="2">
        <v>171366</v>
      </c>
      <c r="J249" t="s">
        <v>16</v>
      </c>
      <c r="K249" t="s">
        <v>17</v>
      </c>
    </row>
    <row r="250" spans="1:11" x14ac:dyDescent="0.25">
      <c r="A250" t="s">
        <v>49</v>
      </c>
      <c r="B250" t="s">
        <v>12</v>
      </c>
      <c r="C250" t="s">
        <v>13</v>
      </c>
      <c r="D250" t="s">
        <v>20</v>
      </c>
      <c r="E250" t="s">
        <v>15</v>
      </c>
      <c r="F250" t="s">
        <v>14</v>
      </c>
      <c r="G250">
        <v>2222</v>
      </c>
      <c r="H250" s="1">
        <v>159</v>
      </c>
      <c r="I250" s="2">
        <v>353298</v>
      </c>
      <c r="J250" t="s">
        <v>16</v>
      </c>
      <c r="K250" t="s">
        <v>17</v>
      </c>
    </row>
    <row r="251" spans="1:11" x14ac:dyDescent="0.25">
      <c r="A251" t="s">
        <v>45</v>
      </c>
      <c r="B251" t="s">
        <v>12</v>
      </c>
      <c r="C251" t="s">
        <v>13</v>
      </c>
      <c r="D251" t="s">
        <v>14</v>
      </c>
      <c r="E251" t="s">
        <v>15</v>
      </c>
      <c r="F251" t="s">
        <v>20</v>
      </c>
      <c r="G251">
        <v>2534</v>
      </c>
      <c r="H251" s="1">
        <v>12.99</v>
      </c>
      <c r="I251" s="2">
        <v>32916.660000000003</v>
      </c>
      <c r="J251" t="s">
        <v>16</v>
      </c>
      <c r="K251" t="s">
        <v>17</v>
      </c>
    </row>
    <row r="252" spans="1:11" x14ac:dyDescent="0.25">
      <c r="A252" t="s">
        <v>50</v>
      </c>
      <c r="B252" t="s">
        <v>12</v>
      </c>
      <c r="C252" t="s">
        <v>13</v>
      </c>
      <c r="D252" t="s">
        <v>20</v>
      </c>
      <c r="E252" t="s">
        <v>26</v>
      </c>
      <c r="F252" t="s">
        <v>20</v>
      </c>
      <c r="G252">
        <v>1466</v>
      </c>
      <c r="H252" s="1">
        <v>19.899999999999999</v>
      </c>
      <c r="I252" s="2">
        <v>29173.4</v>
      </c>
      <c r="J252" t="s">
        <v>16</v>
      </c>
      <c r="K252" t="s">
        <v>17</v>
      </c>
    </row>
    <row r="253" spans="1:11" x14ac:dyDescent="0.25">
      <c r="A253" t="s">
        <v>25</v>
      </c>
      <c r="B253" t="s">
        <v>12</v>
      </c>
      <c r="C253" t="s">
        <v>13</v>
      </c>
      <c r="D253" t="s">
        <v>14</v>
      </c>
      <c r="E253" t="s">
        <v>26</v>
      </c>
      <c r="F253" t="s">
        <v>20</v>
      </c>
      <c r="G253">
        <v>2870</v>
      </c>
      <c r="H253" s="1">
        <v>39.9</v>
      </c>
      <c r="I253" s="2">
        <v>114513</v>
      </c>
      <c r="J253" t="s">
        <v>16</v>
      </c>
      <c r="K253"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F224-A167-49D4-9F3B-63ADCE37DE87}">
  <dimension ref="B1:C94"/>
  <sheetViews>
    <sheetView tabSelected="1" zoomScale="72" zoomScaleNormal="70" workbookViewId="0">
      <selection activeCell="D7" sqref="D7"/>
    </sheetView>
  </sheetViews>
  <sheetFormatPr defaultRowHeight="13.8" x14ac:dyDescent="0.25"/>
  <cols>
    <col min="2" max="2" width="33.8984375" bestFit="1" customWidth="1"/>
    <col min="3" max="3" width="16.5" bestFit="1" customWidth="1"/>
  </cols>
  <sheetData>
    <row r="1" spans="2:3" x14ac:dyDescent="0.25">
      <c r="B1" s="9" t="s">
        <v>222</v>
      </c>
      <c r="C1" s="9"/>
    </row>
    <row r="2" spans="2:3" x14ac:dyDescent="0.25">
      <c r="B2" s="9"/>
      <c r="C2" s="9"/>
    </row>
    <row r="3" spans="2:3" x14ac:dyDescent="0.25">
      <c r="B3" s="3" t="s">
        <v>228</v>
      </c>
      <c r="C3" t="s">
        <v>232</v>
      </c>
    </row>
    <row r="4" spans="2:3" x14ac:dyDescent="0.25">
      <c r="B4" s="4" t="s">
        <v>13</v>
      </c>
      <c r="C4" s="6">
        <v>7573500.9500000002</v>
      </c>
    </row>
    <row r="5" spans="2:3" x14ac:dyDescent="0.25">
      <c r="B5" s="4" t="s">
        <v>153</v>
      </c>
      <c r="C5" s="6">
        <v>1171942.7</v>
      </c>
    </row>
    <row r="6" spans="2:3" x14ac:dyDescent="0.25">
      <c r="B6" s="4" t="s">
        <v>124</v>
      </c>
      <c r="C6" s="6">
        <v>596633.19999999995</v>
      </c>
    </row>
    <row r="7" spans="2:3" x14ac:dyDescent="0.25">
      <c r="B7" s="4" t="s">
        <v>204</v>
      </c>
      <c r="C7" s="6">
        <v>567593.25</v>
      </c>
    </row>
    <row r="8" spans="2:3" x14ac:dyDescent="0.25">
      <c r="B8" s="4" t="s">
        <v>191</v>
      </c>
      <c r="C8" s="6">
        <v>268698.2</v>
      </c>
    </row>
    <row r="9" spans="2:3" x14ac:dyDescent="0.25">
      <c r="B9" s="4" t="s">
        <v>220</v>
      </c>
      <c r="C9" s="6">
        <v>10178368.299999999</v>
      </c>
    </row>
    <row r="12" spans="2:3" x14ac:dyDescent="0.25">
      <c r="B12" s="9" t="s">
        <v>223</v>
      </c>
      <c r="C12" s="9"/>
    </row>
    <row r="13" spans="2:3" x14ac:dyDescent="0.25">
      <c r="B13" s="9"/>
      <c r="C13" s="9"/>
    </row>
    <row r="14" spans="2:3" x14ac:dyDescent="0.25">
      <c r="B14" s="9"/>
      <c r="C14" s="9"/>
    </row>
    <row r="15" spans="2:3" x14ac:dyDescent="0.25">
      <c r="B15" s="3" t="s">
        <v>3</v>
      </c>
      <c r="C15" t="s">
        <v>232</v>
      </c>
    </row>
    <row r="16" spans="2:3" x14ac:dyDescent="0.25">
      <c r="B16" s="4" t="s">
        <v>14</v>
      </c>
      <c r="C16" s="6">
        <v>9653720.3600000013</v>
      </c>
    </row>
    <row r="17" spans="2:3" x14ac:dyDescent="0.25">
      <c r="B17" s="4" t="s">
        <v>20</v>
      </c>
      <c r="C17" s="6">
        <v>10178368.299999999</v>
      </c>
    </row>
    <row r="18" spans="2:3" x14ac:dyDescent="0.25">
      <c r="B18" s="4" t="s">
        <v>220</v>
      </c>
      <c r="C18" s="6">
        <v>19832088.66</v>
      </c>
    </row>
    <row r="21" spans="2:3" x14ac:dyDescent="0.25">
      <c r="B21" s="9" t="s">
        <v>224</v>
      </c>
      <c r="C21" s="9"/>
    </row>
    <row r="22" spans="2:3" x14ac:dyDescent="0.25">
      <c r="B22" s="9"/>
      <c r="C22" s="9"/>
    </row>
    <row r="23" spans="2:3" x14ac:dyDescent="0.25">
      <c r="B23" s="9"/>
      <c r="C23" s="9"/>
    </row>
    <row r="24" spans="2:3" x14ac:dyDescent="0.25">
      <c r="B24" s="3" t="s">
        <v>231</v>
      </c>
      <c r="C24" t="s">
        <v>232</v>
      </c>
    </row>
    <row r="25" spans="2:3" x14ac:dyDescent="0.25">
      <c r="B25" s="4" t="s">
        <v>21</v>
      </c>
      <c r="C25" s="5">
        <v>0.4024913649469728</v>
      </c>
    </row>
    <row r="26" spans="2:3" x14ac:dyDescent="0.25">
      <c r="B26" s="4" t="s">
        <v>15</v>
      </c>
      <c r="C26" s="5">
        <v>0.32121196773750071</v>
      </c>
    </row>
    <row r="27" spans="2:3" x14ac:dyDescent="0.25">
      <c r="B27" s="4" t="s">
        <v>26</v>
      </c>
      <c r="C27" s="5">
        <v>0.27629666731552638</v>
      </c>
    </row>
    <row r="28" spans="2:3" x14ac:dyDescent="0.25">
      <c r="B28" s="4" t="s">
        <v>220</v>
      </c>
      <c r="C28" s="5">
        <v>1</v>
      </c>
    </row>
    <row r="31" spans="2:3" x14ac:dyDescent="0.25">
      <c r="B31" s="9" t="s">
        <v>225</v>
      </c>
      <c r="C31" s="9"/>
    </row>
    <row r="32" spans="2:3" x14ac:dyDescent="0.25">
      <c r="B32" s="9"/>
      <c r="C32" s="9"/>
    </row>
    <row r="33" spans="2:3" x14ac:dyDescent="0.25">
      <c r="B33" s="9"/>
      <c r="C33" s="9"/>
    </row>
    <row r="34" spans="2:3" x14ac:dyDescent="0.25">
      <c r="B34" s="3" t="s">
        <v>5</v>
      </c>
      <c r="C34" t="s">
        <v>232</v>
      </c>
    </row>
    <row r="35" spans="2:3" x14ac:dyDescent="0.25">
      <c r="B35" s="4" t="s">
        <v>20</v>
      </c>
      <c r="C35" s="6">
        <v>10178368.299999999</v>
      </c>
    </row>
    <row r="36" spans="2:3" x14ac:dyDescent="0.25">
      <c r="B36" s="4" t="s">
        <v>14</v>
      </c>
      <c r="C36" s="6">
        <v>9816018.5999999996</v>
      </c>
    </row>
    <row r="37" spans="2:3" x14ac:dyDescent="0.25">
      <c r="B37" s="4" t="s">
        <v>220</v>
      </c>
      <c r="C37" s="6">
        <v>19994386.899999999</v>
      </c>
    </row>
    <row r="40" spans="2:3" x14ac:dyDescent="0.25">
      <c r="B40" s="9" t="s">
        <v>226</v>
      </c>
      <c r="C40" s="9"/>
    </row>
    <row r="41" spans="2:3" x14ac:dyDescent="0.25">
      <c r="B41" s="9"/>
      <c r="C41" s="9"/>
    </row>
    <row r="42" spans="2:3" x14ac:dyDescent="0.25">
      <c r="B42" s="9"/>
      <c r="C42" s="9"/>
    </row>
    <row r="43" spans="2:3" x14ac:dyDescent="0.25">
      <c r="B43" s="3" t="s">
        <v>230</v>
      </c>
      <c r="C43" t="s">
        <v>221</v>
      </c>
    </row>
    <row r="44" spans="2:3" x14ac:dyDescent="0.25">
      <c r="B44" s="4" t="s">
        <v>17</v>
      </c>
      <c r="C44">
        <v>50</v>
      </c>
    </row>
    <row r="45" spans="2:3" x14ac:dyDescent="0.25">
      <c r="B45" s="4" t="s">
        <v>154</v>
      </c>
      <c r="C45">
        <v>11</v>
      </c>
    </row>
    <row r="46" spans="2:3" x14ac:dyDescent="0.25">
      <c r="B46" s="4" t="s">
        <v>220</v>
      </c>
      <c r="C46">
        <v>61</v>
      </c>
    </row>
    <row r="49" spans="2:3" x14ac:dyDescent="0.25">
      <c r="B49" s="9" t="s">
        <v>227</v>
      </c>
      <c r="C49" s="9"/>
    </row>
    <row r="50" spans="2:3" x14ac:dyDescent="0.25">
      <c r="B50" s="9"/>
      <c r="C50" s="9"/>
    </row>
    <row r="51" spans="2:3" x14ac:dyDescent="0.25">
      <c r="B51" s="3" t="s">
        <v>229</v>
      </c>
      <c r="C51" s="6" t="s">
        <v>232</v>
      </c>
    </row>
    <row r="52" spans="2:3" x14ac:dyDescent="0.25">
      <c r="B52" s="4" t="s">
        <v>17</v>
      </c>
      <c r="C52" s="6">
        <v>9130707.8000000007</v>
      </c>
    </row>
    <row r="53" spans="2:3" x14ac:dyDescent="0.25">
      <c r="B53" s="4" t="s">
        <v>154</v>
      </c>
      <c r="C53" s="6">
        <v>1047660.5</v>
      </c>
    </row>
    <row r="54" spans="2:3" x14ac:dyDescent="0.25">
      <c r="B54" s="4" t="s">
        <v>220</v>
      </c>
      <c r="C54" s="6">
        <v>10178368.300000001</v>
      </c>
    </row>
    <row r="74" spans="2:3" x14ac:dyDescent="0.25">
      <c r="B74" s="3" t="s">
        <v>0</v>
      </c>
      <c r="C74" s="6" t="s">
        <v>233</v>
      </c>
    </row>
    <row r="75" spans="2:3" x14ac:dyDescent="0.25">
      <c r="B75" s="4" t="s">
        <v>19</v>
      </c>
      <c r="C75" s="6">
        <v>675719</v>
      </c>
    </row>
    <row r="76" spans="2:3" x14ac:dyDescent="0.25">
      <c r="B76" s="4" t="s">
        <v>71</v>
      </c>
      <c r="C76" s="6">
        <v>651521</v>
      </c>
    </row>
    <row r="77" spans="2:3" x14ac:dyDescent="0.25">
      <c r="B77" s="4" t="s">
        <v>78</v>
      </c>
      <c r="C77" s="6">
        <v>447174</v>
      </c>
    </row>
    <row r="78" spans="2:3" x14ac:dyDescent="0.25">
      <c r="B78" s="4" t="s">
        <v>30</v>
      </c>
      <c r="C78" s="6">
        <v>432887.6</v>
      </c>
    </row>
    <row r="79" spans="2:3" x14ac:dyDescent="0.25">
      <c r="B79" s="4" t="s">
        <v>46</v>
      </c>
      <c r="C79" s="6">
        <v>392625.5</v>
      </c>
    </row>
    <row r="80" spans="2:3" x14ac:dyDescent="0.25">
      <c r="B80" s="4" t="s">
        <v>220</v>
      </c>
      <c r="C80" s="6">
        <v>2599927.1</v>
      </c>
    </row>
    <row r="93" spans="2:3" x14ac:dyDescent="0.25">
      <c r="B93" s="9"/>
      <c r="C93" s="9"/>
    </row>
    <row r="94" spans="2:3" x14ac:dyDescent="0.25">
      <c r="B94" s="9"/>
      <c r="C94" s="9"/>
    </row>
  </sheetData>
  <mergeCells count="7">
    <mergeCell ref="B49:C50"/>
    <mergeCell ref="B93:C94"/>
    <mergeCell ref="B1:C2"/>
    <mergeCell ref="B12:C14"/>
    <mergeCell ref="B21:C23"/>
    <mergeCell ref="B31:C33"/>
    <mergeCell ref="B40:C4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0DFB-042A-4F8A-9E49-09B0A171DBF5}">
  <dimension ref="J1:V5"/>
  <sheetViews>
    <sheetView showGridLines="0" showRowColHeaders="0" topLeftCell="B1" zoomScale="71" zoomScaleNormal="108" workbookViewId="0">
      <selection activeCell="G42" sqref="G42"/>
    </sheetView>
  </sheetViews>
  <sheetFormatPr defaultRowHeight="13.8" x14ac:dyDescent="0.25"/>
  <cols>
    <col min="1" max="16384" width="8.796875" style="7"/>
  </cols>
  <sheetData>
    <row r="1" spans="10:22" ht="14.4" customHeight="1" x14ac:dyDescent="0.25">
      <c r="J1" s="10"/>
      <c r="K1" s="10"/>
      <c r="L1" s="10"/>
      <c r="M1" s="10"/>
      <c r="N1" s="10"/>
      <c r="O1" s="10"/>
      <c r="P1" s="10"/>
      <c r="Q1" s="10"/>
      <c r="R1" s="10"/>
      <c r="S1" s="10"/>
      <c r="T1" s="10"/>
      <c r="U1" s="10"/>
      <c r="V1" s="10"/>
    </row>
    <row r="2" spans="10:22" x14ac:dyDescent="0.25">
      <c r="J2" s="10"/>
      <c r="K2" s="10"/>
      <c r="L2" s="10"/>
      <c r="M2" s="10"/>
      <c r="N2" s="10"/>
      <c r="O2" s="10"/>
      <c r="P2" s="10"/>
      <c r="Q2" s="10"/>
      <c r="R2" s="10"/>
      <c r="S2" s="10"/>
      <c r="T2" s="10"/>
      <c r="U2" s="10"/>
      <c r="V2" s="10"/>
    </row>
    <row r="3" spans="10:22" x14ac:dyDescent="0.25">
      <c r="J3" s="10"/>
      <c r="K3" s="10"/>
      <c r="L3" s="10"/>
      <c r="M3" s="10"/>
      <c r="N3" s="10"/>
      <c r="O3" s="10"/>
      <c r="P3" s="10"/>
      <c r="Q3" s="10"/>
      <c r="R3" s="10"/>
      <c r="S3" s="10"/>
      <c r="T3" s="10"/>
      <c r="U3" s="10"/>
      <c r="V3" s="10"/>
    </row>
    <row r="4" spans="10:22" x14ac:dyDescent="0.25">
      <c r="J4" s="10"/>
      <c r="K4" s="10"/>
      <c r="L4" s="10"/>
      <c r="M4" s="10"/>
      <c r="N4" s="10"/>
      <c r="O4" s="10"/>
      <c r="P4" s="10"/>
      <c r="Q4" s="10"/>
      <c r="R4" s="10"/>
      <c r="S4" s="10"/>
      <c r="T4" s="10"/>
      <c r="U4" s="10"/>
      <c r="V4" s="10"/>
    </row>
    <row r="5" spans="10:22" x14ac:dyDescent="0.25">
      <c r="J5" s="10"/>
      <c r="K5" s="10"/>
      <c r="L5" s="10"/>
      <c r="M5" s="10"/>
      <c r="N5" s="10"/>
      <c r="O5" s="10"/>
      <c r="P5" s="10"/>
      <c r="Q5" s="10"/>
      <c r="R5" s="10"/>
      <c r="S5" s="10"/>
      <c r="T5" s="10"/>
      <c r="U5" s="10"/>
      <c r="V5" s="10"/>
    </row>
  </sheetData>
  <mergeCells count="1">
    <mergeCell ref="J1: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BEB575-E2BF-4AF6-B4B3-3CEEEEE246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zara</vt:lpstr>
      <vt:lpstr>pivot tables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YAHIA WAEL</dc:creator>
  <cp:lastModifiedBy>YAHIA WAEL</cp:lastModifiedBy>
  <dcterms:created xsi:type="dcterms:W3CDTF">2025-12-05T01:59:10Z</dcterms:created>
  <dcterms:modified xsi:type="dcterms:W3CDTF">2025-12-05T04:50:43Z</dcterms:modified>
</cp:coreProperties>
</file>